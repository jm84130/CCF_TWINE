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225" activeTab="1"/>
  </bookViews>
  <sheets>
    <sheet name="Identification" sheetId="1" r:id="rId1"/>
    <sheet name="Notation" sheetId="2" r:id="rId2"/>
  </sheets>
  <definedNames>
    <definedName name="_xlnm.Print_Area" localSheetId="0">Identification!$A1:$F43</definedName>
    <definedName name="_xlnm.Print_Area" localSheetId="1">Notation!$A1:$H89</definedName>
  </definedNames>
  <calcPr calcId="152511"/>
</workbook>
</file>

<file path=xl/calcChain.xml><?xml version="1.0" encoding="utf-8"?>
<calcChain xmlns="http://schemas.openxmlformats.org/spreadsheetml/2006/main">
  <c r="E86" i="2" l="1"/>
  <c r="K76" i="2"/>
  <c r="S75" i="2"/>
  <c r="S74" i="2"/>
  <c r="R74" i="2"/>
  <c r="P74" i="2"/>
  <c r="O74" i="2"/>
  <c r="N74" i="2"/>
  <c r="M74" i="2"/>
  <c r="L74" i="2"/>
  <c r="I74" i="2"/>
  <c r="Q74" i="2" s="1"/>
  <c r="S73" i="2"/>
  <c r="R73" i="2"/>
  <c r="P73" i="2"/>
  <c r="O73" i="2"/>
  <c r="N73" i="2"/>
  <c r="M73" i="2"/>
  <c r="I73" i="2"/>
  <c r="Q73" i="2" s="1"/>
  <c r="S72" i="2"/>
  <c r="R72" i="2"/>
  <c r="P72" i="2"/>
  <c r="N72" i="2"/>
  <c r="M72" i="2"/>
  <c r="O72" i="2" s="1"/>
  <c r="I72" i="2"/>
  <c r="Q72" i="2" s="1"/>
  <c r="S71" i="2"/>
  <c r="R71" i="2"/>
  <c r="P71" i="2"/>
  <c r="O71" i="2"/>
  <c r="N71" i="2"/>
  <c r="M71" i="2"/>
  <c r="I71" i="2"/>
  <c r="Q71" i="2" s="1"/>
  <c r="S70" i="2"/>
  <c r="R70" i="2"/>
  <c r="P70" i="2"/>
  <c r="O70" i="2"/>
  <c r="N70" i="2"/>
  <c r="M70" i="2"/>
  <c r="I70" i="2"/>
  <c r="Q70" i="2" s="1"/>
  <c r="S69" i="2"/>
  <c r="R69" i="2"/>
  <c r="Q69" i="2"/>
  <c r="P69" i="2"/>
  <c r="O69" i="2"/>
  <c r="N69" i="2"/>
  <c r="M69" i="2"/>
  <c r="I69" i="2"/>
  <c r="S68" i="2"/>
  <c r="R68" i="2"/>
  <c r="P68" i="2"/>
  <c r="O68" i="2"/>
  <c r="N68" i="2"/>
  <c r="M68" i="2"/>
  <c r="I68" i="2"/>
  <c r="Q68" i="2" s="1"/>
  <c r="S67" i="2"/>
  <c r="R67" i="2"/>
  <c r="P67" i="2"/>
  <c r="O67" i="2"/>
  <c r="N67" i="2"/>
  <c r="M67" i="2"/>
  <c r="I67" i="2"/>
  <c r="Q67" i="2" s="1"/>
  <c r="S66" i="2"/>
  <c r="R66" i="2"/>
  <c r="Q66" i="2"/>
  <c r="P66" i="2"/>
  <c r="O66" i="2"/>
  <c r="N66" i="2"/>
  <c r="M66" i="2"/>
  <c r="I66" i="2"/>
  <c r="S65" i="2"/>
  <c r="R65" i="2"/>
  <c r="P65" i="2"/>
  <c r="O65" i="2"/>
  <c r="N65" i="2"/>
  <c r="M65" i="2"/>
  <c r="I65" i="2"/>
  <c r="Q65" i="2" s="1"/>
  <c r="S64" i="2"/>
  <c r="R64" i="2"/>
  <c r="P64" i="2"/>
  <c r="O64" i="2"/>
  <c r="N64" i="2"/>
  <c r="M64" i="2"/>
  <c r="I64" i="2"/>
  <c r="Q64" i="2" s="1"/>
  <c r="S63" i="2"/>
  <c r="R63" i="2"/>
  <c r="Q63" i="2"/>
  <c r="P63" i="2"/>
  <c r="O63" i="2"/>
  <c r="N63" i="2"/>
  <c r="M63" i="2"/>
  <c r="I63" i="2"/>
  <c r="S62" i="2"/>
  <c r="R62" i="2"/>
  <c r="Q62" i="2"/>
  <c r="P62" i="2"/>
  <c r="O62" i="2"/>
  <c r="N62" i="2"/>
  <c r="M62" i="2"/>
  <c r="I62" i="2"/>
  <c r="S61" i="2"/>
  <c r="R61" i="2"/>
  <c r="P61" i="2"/>
  <c r="O61" i="2"/>
  <c r="N61" i="2"/>
  <c r="M61" i="2"/>
  <c r="I61" i="2"/>
  <c r="Q61" i="2" s="1"/>
  <c r="S60" i="2"/>
  <c r="R60" i="2"/>
  <c r="Q60" i="2"/>
  <c r="P60" i="2"/>
  <c r="O60" i="2"/>
  <c r="N60" i="2"/>
  <c r="M60" i="2"/>
  <c r="I60" i="2"/>
  <c r="S59" i="2"/>
  <c r="Q59" i="2"/>
  <c r="I59" i="2"/>
  <c r="S58" i="2"/>
  <c r="R58" i="2"/>
  <c r="P58" i="2"/>
  <c r="O58" i="2"/>
  <c r="N58" i="2"/>
  <c r="M58" i="2"/>
  <c r="L58" i="2"/>
  <c r="I58" i="2"/>
  <c r="Q58" i="2" s="1"/>
  <c r="S57" i="2"/>
  <c r="R57" i="2"/>
  <c r="P57" i="2"/>
  <c r="O57" i="2"/>
  <c r="N57" i="2"/>
  <c r="M57" i="2"/>
  <c r="I57" i="2"/>
  <c r="Q57" i="2" s="1"/>
  <c r="S56" i="2"/>
  <c r="R56" i="2"/>
  <c r="P56" i="2"/>
  <c r="O56" i="2"/>
  <c r="N56" i="2"/>
  <c r="M56" i="2"/>
  <c r="I56" i="2"/>
  <c r="Q56" i="2" s="1"/>
  <c r="S55" i="2"/>
  <c r="R55" i="2"/>
  <c r="P55" i="2"/>
  <c r="O55" i="2"/>
  <c r="N55" i="2"/>
  <c r="M55" i="2"/>
  <c r="I55" i="2"/>
  <c r="Q55" i="2" s="1"/>
  <c r="S54" i="2"/>
  <c r="R54" i="2"/>
  <c r="P54" i="2"/>
  <c r="O54" i="2"/>
  <c r="N54" i="2"/>
  <c r="M54" i="2"/>
  <c r="I54" i="2"/>
  <c r="Q54" i="2" s="1"/>
  <c r="S53" i="2"/>
  <c r="R53" i="2"/>
  <c r="P53" i="2"/>
  <c r="O53" i="2"/>
  <c r="N53" i="2"/>
  <c r="M53" i="2"/>
  <c r="I53" i="2"/>
  <c r="Q53" i="2" s="1"/>
  <c r="S52" i="2"/>
  <c r="R52" i="2"/>
  <c r="P52" i="2"/>
  <c r="O52" i="2"/>
  <c r="N52" i="2"/>
  <c r="M52" i="2"/>
  <c r="I52" i="2"/>
  <c r="Q52" i="2" s="1"/>
  <c r="S51" i="2"/>
  <c r="R51" i="2"/>
  <c r="Q51" i="2"/>
  <c r="P51" i="2"/>
  <c r="O51" i="2"/>
  <c r="N51" i="2"/>
  <c r="M51" i="2"/>
  <c r="I51" i="2"/>
  <c r="S50" i="2"/>
  <c r="R50" i="2"/>
  <c r="P50" i="2"/>
  <c r="O50" i="2"/>
  <c r="N50" i="2"/>
  <c r="M50" i="2"/>
  <c r="I50" i="2"/>
  <c r="Q50" i="2" s="1"/>
  <c r="S49" i="2"/>
  <c r="R49" i="2"/>
  <c r="P49" i="2"/>
  <c r="O49" i="2"/>
  <c r="N49" i="2"/>
  <c r="M49" i="2"/>
  <c r="I49" i="2"/>
  <c r="Q49" i="2" s="1"/>
  <c r="S48" i="2"/>
  <c r="R48" i="2"/>
  <c r="Q48" i="2"/>
  <c r="P48" i="2"/>
  <c r="O48" i="2"/>
  <c r="N48" i="2"/>
  <c r="M48" i="2"/>
  <c r="I48" i="2"/>
  <c r="S47" i="2"/>
  <c r="R47" i="2"/>
  <c r="P47" i="2"/>
  <c r="O47" i="2"/>
  <c r="N47" i="2"/>
  <c r="M47" i="2"/>
  <c r="I47" i="2"/>
  <c r="Q47" i="2" s="1"/>
  <c r="S46" i="2"/>
  <c r="R46" i="2"/>
  <c r="P46" i="2"/>
  <c r="O46" i="2"/>
  <c r="N46" i="2"/>
  <c r="M46" i="2"/>
  <c r="I46" i="2"/>
  <c r="Q46" i="2" s="1"/>
  <c r="S45" i="2"/>
  <c r="R45" i="2"/>
  <c r="P45" i="2"/>
  <c r="O45" i="2"/>
  <c r="N45" i="2"/>
  <c r="M45" i="2"/>
  <c r="I45" i="2"/>
  <c r="Q45" i="2" s="1"/>
  <c r="S44" i="2"/>
  <c r="R44" i="2"/>
  <c r="P44" i="2"/>
  <c r="O44" i="2"/>
  <c r="N44" i="2"/>
  <c r="N43" i="2" s="1"/>
  <c r="M44" i="2"/>
  <c r="I44" i="2"/>
  <c r="Q44" i="2" s="1"/>
  <c r="S43" i="2"/>
  <c r="Q43" i="2"/>
  <c r="I43" i="2"/>
  <c r="S42" i="2"/>
  <c r="R42" i="2"/>
  <c r="Q42" i="2"/>
  <c r="P42" i="2"/>
  <c r="O42" i="2"/>
  <c r="N42" i="2"/>
  <c r="M42" i="2"/>
  <c r="L42" i="2"/>
  <c r="I42" i="2"/>
  <c r="S41" i="2"/>
  <c r="R41" i="2"/>
  <c r="P41" i="2"/>
  <c r="O41" i="2"/>
  <c r="N41" i="2"/>
  <c r="M41" i="2"/>
  <c r="I41" i="2"/>
  <c r="Q41" i="2" s="1"/>
  <c r="S40" i="2"/>
  <c r="R40" i="2"/>
  <c r="P40" i="2"/>
  <c r="O40" i="2"/>
  <c r="N40" i="2"/>
  <c r="M40" i="2"/>
  <c r="I40" i="2"/>
  <c r="Q40" i="2" s="1"/>
  <c r="S39" i="2"/>
  <c r="R39" i="2"/>
  <c r="Q39" i="2"/>
  <c r="P39" i="2"/>
  <c r="O39" i="2"/>
  <c r="N39" i="2"/>
  <c r="M39" i="2"/>
  <c r="I39" i="2"/>
  <c r="S38" i="2"/>
  <c r="R38" i="2"/>
  <c r="P38" i="2"/>
  <c r="O38" i="2"/>
  <c r="N38" i="2"/>
  <c r="M38" i="2"/>
  <c r="I38" i="2"/>
  <c r="Q38" i="2" s="1"/>
  <c r="S37" i="2"/>
  <c r="R37" i="2"/>
  <c r="P37" i="2"/>
  <c r="O37" i="2"/>
  <c r="N37" i="2"/>
  <c r="M37" i="2"/>
  <c r="I37" i="2"/>
  <c r="Q37" i="2" s="1"/>
  <c r="S36" i="2"/>
  <c r="R36" i="2"/>
  <c r="Q36" i="2"/>
  <c r="P36" i="2"/>
  <c r="O36" i="2"/>
  <c r="N36" i="2"/>
  <c r="M36" i="2"/>
  <c r="I36" i="2"/>
  <c r="S35" i="2"/>
  <c r="Q35" i="2"/>
  <c r="P35" i="2"/>
  <c r="I35" i="2"/>
  <c r="S34" i="2"/>
  <c r="R34" i="2"/>
  <c r="P34" i="2"/>
  <c r="O34" i="2"/>
  <c r="N34" i="2"/>
  <c r="M34" i="2"/>
  <c r="L34" i="2"/>
  <c r="I34" i="2"/>
  <c r="Q34" i="2" s="1"/>
  <c r="S33" i="2"/>
  <c r="R33" i="2"/>
  <c r="Q33" i="2"/>
  <c r="P33" i="2"/>
  <c r="O33" i="2"/>
  <c r="N33" i="2"/>
  <c r="M33" i="2"/>
  <c r="I33" i="2"/>
  <c r="S32" i="2"/>
  <c r="R32" i="2"/>
  <c r="P32" i="2"/>
  <c r="O32" i="2"/>
  <c r="N32" i="2"/>
  <c r="M32" i="2"/>
  <c r="I32" i="2"/>
  <c r="Q32" i="2" s="1"/>
  <c r="S31" i="2"/>
  <c r="R31" i="2"/>
  <c r="P31" i="2"/>
  <c r="O31" i="2"/>
  <c r="N31" i="2"/>
  <c r="M31" i="2"/>
  <c r="I31" i="2"/>
  <c r="Q31" i="2" s="1"/>
  <c r="S30" i="2"/>
  <c r="R30" i="2"/>
  <c r="Q30" i="2"/>
  <c r="P30" i="2"/>
  <c r="O30" i="2"/>
  <c r="N30" i="2"/>
  <c r="M30" i="2"/>
  <c r="I30" i="2"/>
  <c r="S29" i="2"/>
  <c r="R29" i="2"/>
  <c r="P29" i="2"/>
  <c r="O29" i="2"/>
  <c r="N29" i="2"/>
  <c r="M29" i="2"/>
  <c r="I29" i="2"/>
  <c r="Q29" i="2" s="1"/>
  <c r="S28" i="2"/>
  <c r="R28" i="2"/>
  <c r="P28" i="2"/>
  <c r="O28" i="2"/>
  <c r="N28" i="2"/>
  <c r="M28" i="2"/>
  <c r="I28" i="2"/>
  <c r="Q28" i="2" s="1"/>
  <c r="S27" i="2"/>
  <c r="R27" i="2"/>
  <c r="P27" i="2"/>
  <c r="O27" i="2"/>
  <c r="N27" i="2"/>
  <c r="M27" i="2"/>
  <c r="I27" i="2"/>
  <c r="Q27" i="2" s="1"/>
  <c r="S26" i="2"/>
  <c r="R26" i="2"/>
  <c r="P26" i="2"/>
  <c r="O26" i="2"/>
  <c r="N26" i="2"/>
  <c r="M26" i="2"/>
  <c r="I26" i="2"/>
  <c r="Q26" i="2" s="1"/>
  <c r="S25" i="2"/>
  <c r="R25" i="2"/>
  <c r="P25" i="2"/>
  <c r="P24" i="2" s="1"/>
  <c r="O25" i="2"/>
  <c r="N25" i="2"/>
  <c r="M25" i="2"/>
  <c r="I25" i="2"/>
  <c r="Q25" i="2" s="1"/>
  <c r="S24" i="2"/>
  <c r="Q24" i="2"/>
  <c r="I24" i="2"/>
  <c r="S23" i="2"/>
  <c r="R23" i="2"/>
  <c r="P23" i="2"/>
  <c r="O23" i="2"/>
  <c r="N23" i="2"/>
  <c r="M23" i="2"/>
  <c r="L23" i="2"/>
  <c r="I23" i="2"/>
  <c r="Q23" i="2" s="1"/>
  <c r="S22" i="2"/>
  <c r="R22" i="2"/>
  <c r="P22" i="2"/>
  <c r="O22" i="2"/>
  <c r="N22" i="2"/>
  <c r="M22" i="2"/>
  <c r="I22" i="2"/>
  <c r="Q22" i="2" s="1"/>
  <c r="S21" i="2"/>
  <c r="R21" i="2"/>
  <c r="Q21" i="2"/>
  <c r="P21" i="2"/>
  <c r="O21" i="2"/>
  <c r="M21" i="2"/>
  <c r="I21" i="2"/>
  <c r="S20" i="2"/>
  <c r="R20" i="2"/>
  <c r="P20" i="2"/>
  <c r="O20" i="2"/>
  <c r="N20" i="2"/>
  <c r="M20" i="2"/>
  <c r="I20" i="2"/>
  <c r="Q20" i="2" s="1"/>
  <c r="S19" i="2"/>
  <c r="R19" i="2"/>
  <c r="Q19" i="2"/>
  <c r="P19" i="2"/>
  <c r="O19" i="2"/>
  <c r="N19" i="2"/>
  <c r="M19" i="2"/>
  <c r="I19" i="2"/>
  <c r="S18" i="2"/>
  <c r="R18" i="2"/>
  <c r="P18" i="2"/>
  <c r="O18" i="2"/>
  <c r="N18" i="2"/>
  <c r="M18" i="2"/>
  <c r="I18" i="2"/>
  <c r="Q18" i="2" s="1"/>
  <c r="S17" i="2"/>
  <c r="R17" i="2"/>
  <c r="P17" i="2"/>
  <c r="O17" i="2"/>
  <c r="N17" i="2"/>
  <c r="M17" i="2"/>
  <c r="I17" i="2"/>
  <c r="Q17" i="2" s="1"/>
  <c r="S16" i="2"/>
  <c r="R16" i="2"/>
  <c r="P16" i="2"/>
  <c r="O16" i="2"/>
  <c r="N16" i="2"/>
  <c r="M16" i="2"/>
  <c r="I16" i="2"/>
  <c r="Q16" i="2" s="1"/>
  <c r="S15" i="2"/>
  <c r="Q15" i="2"/>
  <c r="I15" i="2"/>
  <c r="S14" i="2"/>
  <c r="R14" i="2"/>
  <c r="P14" i="2"/>
  <c r="O14" i="2"/>
  <c r="N14" i="2"/>
  <c r="M14" i="2"/>
  <c r="L14" i="2"/>
  <c r="I14" i="2"/>
  <c r="Q14" i="2" s="1"/>
  <c r="S13" i="2"/>
  <c r="R13" i="2"/>
  <c r="P13" i="2"/>
  <c r="O13" i="2"/>
  <c r="N13" i="2"/>
  <c r="M13" i="2"/>
  <c r="I13" i="2"/>
  <c r="Q13" i="2" s="1"/>
  <c r="S12" i="2"/>
  <c r="R12" i="2"/>
  <c r="P12" i="2"/>
  <c r="O12" i="2"/>
  <c r="N12" i="2"/>
  <c r="M12" i="2"/>
  <c r="I12" i="2"/>
  <c r="Q12" i="2" s="1"/>
  <c r="S11" i="2"/>
  <c r="R11" i="2"/>
  <c r="Q11" i="2"/>
  <c r="P11" i="2"/>
  <c r="O11" i="2"/>
  <c r="N11" i="2"/>
  <c r="M11" i="2"/>
  <c r="I11" i="2"/>
  <c r="S10" i="2"/>
  <c r="R10" i="2"/>
  <c r="P10" i="2"/>
  <c r="O10" i="2"/>
  <c r="N10" i="2"/>
  <c r="M10" i="2"/>
  <c r="I10" i="2"/>
  <c r="Q10" i="2" s="1"/>
  <c r="S9" i="2"/>
  <c r="R9" i="2"/>
  <c r="P9" i="2"/>
  <c r="O9" i="2"/>
  <c r="N9" i="2"/>
  <c r="M9" i="2"/>
  <c r="I9" i="2"/>
  <c r="Q9" i="2" s="1"/>
  <c r="S8" i="2"/>
  <c r="R8" i="2"/>
  <c r="Q8" i="2"/>
  <c r="P8" i="2"/>
  <c r="O8" i="2"/>
  <c r="N8" i="2"/>
  <c r="M8" i="2"/>
  <c r="I8" i="2"/>
  <c r="S7" i="2"/>
  <c r="R7" i="2"/>
  <c r="P7" i="2"/>
  <c r="O7" i="2"/>
  <c r="N7" i="2"/>
  <c r="M7" i="2"/>
  <c r="I7" i="2"/>
  <c r="Q7" i="2" s="1"/>
  <c r="S6" i="2"/>
  <c r="R6" i="2"/>
  <c r="P6" i="2"/>
  <c r="O6" i="2"/>
  <c r="N6" i="2"/>
  <c r="M6" i="2"/>
  <c r="I6" i="2"/>
  <c r="Q6" i="2" s="1"/>
  <c r="S5" i="2"/>
  <c r="R5" i="2"/>
  <c r="R15" i="2" s="1"/>
  <c r="P5" i="2"/>
  <c r="O5" i="2"/>
  <c r="N5" i="2"/>
  <c r="N4" i="2" s="1"/>
  <c r="M4" i="2" s="1"/>
  <c r="M5" i="2"/>
  <c r="I5" i="2"/>
  <c r="Q5" i="2" s="1"/>
  <c r="Q4" i="2"/>
  <c r="P4" i="2"/>
  <c r="C1" i="2"/>
  <c r="A1" i="2"/>
  <c r="P59" i="2" l="1"/>
  <c r="N59" i="2"/>
  <c r="M59" i="2" s="1"/>
  <c r="R75" i="2"/>
  <c r="P43" i="2"/>
  <c r="M43" i="2"/>
  <c r="R59" i="2"/>
  <c r="N35" i="2"/>
  <c r="M35" i="2" s="1"/>
  <c r="R43" i="2"/>
  <c r="R35" i="2"/>
  <c r="N24" i="2"/>
  <c r="M24" i="2" s="1"/>
  <c r="N15" i="2"/>
  <c r="P15" i="2"/>
  <c r="E76" i="2" s="1"/>
  <c r="R24" i="2"/>
  <c r="Q76" i="2"/>
  <c r="E79" i="2" s="1"/>
  <c r="N76" i="2"/>
  <c r="M15" i="2"/>
  <c r="E77" i="2" l="1"/>
  <c r="R76" i="2"/>
  <c r="J76" i="2" s="1"/>
  <c r="C82" i="2"/>
</calcChain>
</file>

<file path=xl/sharedStrings.xml><?xml version="1.0" encoding="utf-8"?>
<sst xmlns="http://schemas.openxmlformats.org/spreadsheetml/2006/main" count="317" uniqueCount="224">
  <si>
    <t>Identifications</t>
  </si>
  <si>
    <t>Diplôme :</t>
  </si>
  <si>
    <t>Baccalauréat professionnel « Conducteur Transport Routier Marchandises »</t>
  </si>
  <si>
    <t>Epreuve :</t>
  </si>
  <si>
    <r>
      <t xml:space="preserve">Épreuve E2 </t>
    </r>
    <r>
      <rPr>
        <sz val="12"/>
        <rFont val="Arial"/>
        <family val="2"/>
      </rPr>
      <t>(Unité U2)</t>
    </r>
    <r>
      <rPr>
        <b/>
        <sz val="12"/>
        <rFont val="Arial"/>
        <family val="2"/>
      </rPr>
      <t xml:space="preserve"> : Epreuve technologique</t>
    </r>
  </si>
  <si>
    <t>Établissement :</t>
  </si>
  <si>
    <t>LP LES ALPILLES</t>
  </si>
  <si>
    <t xml:space="preserve">Session : </t>
  </si>
  <si>
    <t/>
  </si>
  <si>
    <r>
      <rPr>
        <b/>
        <sz val="10"/>
        <rFont val="Arial"/>
        <family val="2"/>
      </rPr>
      <t>Nom</t>
    </r>
    <r>
      <rPr>
        <sz val="10"/>
        <rFont val="Arial"/>
        <family val="2"/>
      </rPr>
      <t xml:space="preserve"> du candidat :</t>
    </r>
  </si>
  <si>
    <r>
      <rPr>
        <b/>
        <sz val="10"/>
        <rFont val="Arial"/>
        <family val="2"/>
      </rPr>
      <t>Prénom</t>
    </r>
    <r>
      <rPr>
        <sz val="10"/>
        <rFont val="Arial"/>
        <family val="2"/>
      </rPr>
      <t xml:space="preserve"> du candidat :</t>
    </r>
  </si>
  <si>
    <t>Date de l'évaluation :</t>
  </si>
  <si>
    <t>Lieu de l'évaluation (entreprise ou centre de formation) :</t>
  </si>
  <si>
    <r>
      <t xml:space="preserve">Description sommaire du travail demandé </t>
    </r>
    <r>
      <rPr>
        <sz val="10"/>
        <rFont val="Arial"/>
        <family val="2"/>
      </rPr>
      <t>(le sujet complet doit être joint à cette fiche)</t>
    </r>
    <r>
      <rPr>
        <b/>
        <sz val="10"/>
        <rFont val="Arial"/>
        <family val="2"/>
      </rPr>
      <t xml:space="preserve"> :</t>
    </r>
  </si>
  <si>
    <r>
      <t xml:space="preserve">Travail demandé </t>
    </r>
    <r>
      <rPr>
        <sz val="10"/>
        <rFont val="Arial Narrow"/>
        <family val="2"/>
      </rPr>
      <t>(Repérer les tâches demandées, ce sont celles qui correspondent à l’unité dans le référentiel de certification, à l’exclusion de toute autre)</t>
    </r>
  </si>
  <si>
    <t>Prendre en charge le véhicule, ses équipements et accessoires et
s'assurer de leur conformité.</t>
  </si>
  <si>
    <t>x</t>
  </si>
  <si>
    <t>A1
T2</t>
  </si>
  <si>
    <t>Gérer ses temps de conduite, de repos et autres activités.</t>
  </si>
  <si>
    <t>A3
T3</t>
  </si>
  <si>
    <t>Constituer la pochette de documents nécessaires au transport.</t>
  </si>
  <si>
    <t>A1
T3</t>
  </si>
  <si>
    <t>Localiser et accéder au site du client.</t>
  </si>
  <si>
    <t>A3
T4</t>
  </si>
  <si>
    <t>Organiser le chargement et proposer des aménagements.</t>
  </si>
  <si>
    <t>A1
T4</t>
  </si>
  <si>
    <t>Gérer les litiges, les anomalies, les incidents et accidents.</t>
  </si>
  <si>
    <t>A4
T2</t>
  </si>
  <si>
    <t>Déterminer l’itinéraire et prendre en compte des contraintes nouvelles.</t>
  </si>
  <si>
    <t>A1
T5</t>
  </si>
  <si>
    <t>Restituer les documents relatifs à ses activités.</t>
  </si>
  <si>
    <t>A5
T2</t>
  </si>
  <si>
    <t>Programmer ses activités en fonction des règlementions en vigueur.</t>
  </si>
  <si>
    <t>A1
T6</t>
  </si>
  <si>
    <t>Renseigner les outils de la procédure qualité.</t>
  </si>
  <si>
    <t>A5
T3</t>
  </si>
  <si>
    <t>Vérifier la présence et renseigner les documents nécessaires au
transport.</t>
  </si>
  <si>
    <t>A2
T4</t>
  </si>
  <si>
    <t>Cocher les cases correspondantes aux données fournies et aux tâches demandées</t>
  </si>
  <si>
    <r>
      <t xml:space="preserve">Données fournies au candidat </t>
    </r>
    <r>
      <rPr>
        <sz val="10"/>
        <rFont val="Arial"/>
        <family val="2"/>
      </rPr>
      <t>(cocher les données fournies)</t>
    </r>
  </si>
  <si>
    <t>Le véhicule et ses équipements.</t>
  </si>
  <si>
    <t>Les caractéristiques du site de chargement et de déchargement.</t>
  </si>
  <si>
    <t>Les outils de communication.</t>
  </si>
  <si>
    <t>Le responsable de quai.</t>
  </si>
  <si>
    <t>Les outils de gestion.</t>
  </si>
  <si>
    <t>Le client.</t>
  </si>
  <si>
    <t>Les différents services de l’entreprise.</t>
  </si>
  <si>
    <t>La réglementation liée au transport spécifié.</t>
  </si>
  <si>
    <t xml:space="preserve">Les prestataires et acteurs externes et internes à l’entreprise </t>
  </si>
  <si>
    <t>Les services de l'administration.</t>
  </si>
  <si>
    <t>La documentation technique du constructeur et équipementiers.</t>
  </si>
  <si>
    <t>Les notions de coût du transport.</t>
  </si>
  <si>
    <t>La réglementation liée à l’utilisation des matériels de manutention.</t>
  </si>
  <si>
    <t>La réglementation sociale européenne.</t>
  </si>
  <si>
    <t>La réglementation du transport.</t>
  </si>
  <si>
    <t>Le code du travail français.</t>
  </si>
  <si>
    <t>Les documents relatifs à la marchandise et au transport.</t>
  </si>
  <si>
    <t>La convention collective, les accords de branches ou d’entreprise.</t>
  </si>
  <si>
    <t>La démarche qualité de l’entreprise.</t>
  </si>
  <si>
    <t>Le véhicule.</t>
  </si>
  <si>
    <t>Le service exploitation.</t>
  </si>
  <si>
    <t>Le code de la route.</t>
  </si>
  <si>
    <t>La réglementation des contrats de transport et d’échange intra et extra communautaire.</t>
  </si>
  <si>
    <t>Le véhicule et les équipements de manutention disponibles.</t>
  </si>
  <si>
    <t>Le réseau routier</t>
  </si>
  <si>
    <t>Les caractéristiques de la marchandise transportée.</t>
  </si>
  <si>
    <t>Le document unique.</t>
  </si>
  <si>
    <t>Les règles et les consignes de sécurité de l’entreprise d’accueil.</t>
  </si>
  <si>
    <t>Les moyens de géo localisation (cartes routières, plans, GPS,…)</t>
  </si>
  <si>
    <t>La signalétique de l’entreprise</t>
  </si>
  <si>
    <t>Les procédures de prévention des risques professionnels</t>
  </si>
  <si>
    <t>Les documents spécifiques élaborés dans le cadre des procédures qualité.</t>
  </si>
  <si>
    <t>Le constat amiable.</t>
  </si>
  <si>
    <t>L'organisme de certification qualité.</t>
  </si>
  <si>
    <t>La hiérarchie.</t>
  </si>
  <si>
    <t>Les documents de suivi du transport.</t>
  </si>
  <si>
    <t>Les comportements en situations d’urgence.</t>
  </si>
  <si>
    <t>Les documents de traçabilité de la marchandise.</t>
  </si>
  <si>
    <t>Les mesures de protection et d’alerte à appliquer en cas d’incident grave.</t>
  </si>
  <si>
    <r>
      <t xml:space="preserve">Consulter le référentiel des activités professionnelles pour obtenir le </t>
    </r>
    <r>
      <rPr>
        <b/>
        <i/>
        <sz val="10"/>
        <color indexed="10"/>
        <rFont val="Arial"/>
        <family val="2"/>
      </rPr>
      <t xml:space="preserve">détail des tâches </t>
    </r>
    <r>
      <rPr>
        <i/>
        <sz val="10"/>
        <color indexed="10"/>
        <rFont val="Arial"/>
        <family val="2"/>
      </rPr>
      <t xml:space="preserve">et leurs </t>
    </r>
    <r>
      <rPr>
        <b/>
        <i/>
        <sz val="10"/>
        <color indexed="10"/>
        <rFont val="Arial"/>
        <family val="2"/>
      </rPr>
      <t>correspondances avec les compétences</t>
    </r>
  </si>
  <si>
    <t>Poids de la compétence</t>
  </si>
  <si>
    <t>Compétences évaluées</t>
  </si>
  <si>
    <r>
      <t xml:space="preserve">Indicateurs de performance                                                                                                                 </t>
    </r>
    <r>
      <rPr>
        <sz val="10"/>
        <rFont val="Arial"/>
        <family val="2"/>
      </rPr>
      <t>évaluation</t>
    </r>
  </si>
  <si>
    <t>non</t>
  </si>
  <si>
    <t>Poids du critère</t>
  </si>
  <si>
    <t>C 131</t>
  </si>
  <si>
    <t>Restituer les documents etdonnées liés aux activités.</t>
  </si>
  <si>
    <t>Les documents relatifs aux marchandises transportées sont ordonnés et restitués.</t>
  </si>
  <si>
    <t>Les documents et données relatifs au véhicule, au conducteur sont renseignés, ordonnés et restitués.</t>
  </si>
  <si>
    <t>C132</t>
  </si>
  <si>
    <t>Rendre compte à la hiérarchie.</t>
  </si>
  <si>
    <t>Un compte rendu oral est effectué à l’exploitant ou à la hiérarchie sur le déroulement de la mission.</t>
  </si>
  <si>
    <t>Les incidents ou aléas sont signalés aux services compétents</t>
  </si>
  <si>
    <t>C133</t>
  </si>
  <si>
    <t>Préconiser des améliorations.</t>
  </si>
  <si>
    <t>Des préconisations adaptées sont faites en vue d’éviter de nouveaux incidents.</t>
  </si>
  <si>
    <t>Des propositions d’amélioration de l’organisation des activités réalisées sont faites et argumentées.</t>
  </si>
  <si>
    <t>C134</t>
  </si>
  <si>
    <t>Sélectionner les outils de la démarche qualité.</t>
  </si>
  <si>
    <t>Les documents de suivi sont identifiés sans omission.</t>
  </si>
  <si>
    <t>Les documents devant être renseignés sont retenus.</t>
  </si>
  <si>
    <t>C135</t>
  </si>
  <si>
    <t>Renseigner les documents de la démarche qualité.</t>
  </si>
  <si>
    <t>Les documents sélectionnés sont renseignés sans omission, ils sont exploitables.</t>
  </si>
  <si>
    <t>Les défauts ou éléments de non qualité sont identifiés et signalés conformément aux procédures prévues.</t>
  </si>
  <si>
    <t>C2.1 : Vérifier et renseigner les documents nécessaires au transport</t>
  </si>
  <si>
    <t>C 211</t>
  </si>
  <si>
    <t>Constituer la pochette et contrôler les documents d'accompagnement.</t>
  </si>
  <si>
    <t>Les différents documents liés : au conducteur, véhicule, marchandise transportée, réglementation figurent sans omission dans la pochette à constituer.</t>
  </si>
  <si>
    <t>Les documents présents sont valides.</t>
  </si>
  <si>
    <t>C 212</t>
  </si>
  <si>
    <t>Sélectionner et compléter les documents de transport.</t>
  </si>
  <si>
    <t>Les documents nécessaires sont sélectionnés avec pertinence.</t>
  </si>
  <si>
    <t>Les différentes rubriques sont complétées avec exactitude, les documents sont exploitables.</t>
  </si>
  <si>
    <t>C 213</t>
  </si>
  <si>
    <t>Identifier, signaler les anomalies et incidents.</t>
  </si>
  <si>
    <t>Les anomalies, erreurs et incidents sont signalés à la hiérarchie.</t>
  </si>
  <si>
    <t>Les réserves de départ sont clairement notifiées et signées.</t>
  </si>
  <si>
    <t>C 214</t>
  </si>
  <si>
    <t>Valider les documents de transport avec le client ou donneur d’ordre.</t>
  </si>
  <si>
    <t>Le document de transport est accepté et validé par les parties liées.</t>
  </si>
  <si>
    <t>Il est ventilé aux services compétents.</t>
  </si>
  <si>
    <t>C2.2 : Prendre en charge le véhicule et organiser le chargement.</t>
  </si>
  <si>
    <t>C 221</t>
  </si>
  <si>
    <t>Contrôler la compatibilité du véhicule au transport à réaliser.</t>
  </si>
  <si>
    <t>Le véhicule est compatible avec la marchandise à transporter.</t>
  </si>
  <si>
    <t>Les équipements et accessoires nécessaires aux transports à réaliser sont présents et compatibles</t>
  </si>
  <si>
    <t>C 222</t>
  </si>
  <si>
    <t>Contrôler la conformité des véhicules au transport à réaliser.</t>
  </si>
  <si>
    <t>Les contrôles, visites techniques, agréments afférents aux véhicules et équipements sont valides.</t>
  </si>
  <si>
    <t>Les anomalies constatées sont signalées à la hiérarchie dans le respect des procédures de l’entreprise (formulaire,…)</t>
  </si>
  <si>
    <t>C 223</t>
  </si>
  <si>
    <t>Organiser le plan de chargement.</t>
  </si>
  <si>
    <t>Le plan de chargement est adapté à l’ordre d’enlèvement ou de livraison,</t>
  </si>
  <si>
    <t>Le plan de chargement est adapté à la répartition des charges,</t>
  </si>
  <si>
    <t>Le plan de chargement est adapté aux lois physiques liées aux véhicules en mouvement,</t>
  </si>
  <si>
    <t>Le plan de chargement est adapté aux compatibilités des marchandises entre elles.</t>
  </si>
  <si>
    <t>C224</t>
  </si>
  <si>
    <t>Proposer des solutions correctives.</t>
  </si>
  <si>
    <t>Les incompatibilités et anomalies constatées sont toutes signalées suivant le respect des procédures de l’entreprise.</t>
  </si>
  <si>
    <t>Les aménagements proposés respectent les contraintes du transport.</t>
  </si>
  <si>
    <t>C2.3 : Déterminer et adapter l’itinéraire</t>
  </si>
  <si>
    <t>C 231</t>
  </si>
  <si>
    <t>Exploiter les informations liées aux conditions de circulation.</t>
  </si>
  <si>
    <t>Toutes les contraintes liées aux conditions de circulation et aux caractéristiques du réseau routier sont identifiées et prises en compte.</t>
  </si>
  <si>
    <t>Les ordres reçus sont identifiés et respectés.</t>
  </si>
  <si>
    <t>C 232</t>
  </si>
  <si>
    <t>Déterminer un itinéraire.</t>
  </si>
  <si>
    <t>La proposition d’itinéraire est adaptée et prend en compte le plan de chargement,</t>
  </si>
  <si>
    <t>La proposition d’itinéraire est adaptée et prend en compte les contraintes réglementaires et/ou de circulations saisonnières</t>
  </si>
  <si>
    <t>La proposition d’itinéraire est adaptée et prend en compte la maitrise des coûts.</t>
  </si>
  <si>
    <t>C 234</t>
  </si>
  <si>
    <t>Proposer et justifier des aménagements</t>
  </si>
  <si>
    <t>La proposition d’aménagements et/ou de modifications est adaptée aux contraintes imposées.</t>
  </si>
  <si>
    <t>La justification des choix et l’argumentation sont adaptées.</t>
  </si>
  <si>
    <t>C2.4 : Programmer et gérer ses activités</t>
  </si>
  <si>
    <t>C 241</t>
  </si>
  <si>
    <t>Exploiter les données liées à la réglementation.</t>
  </si>
  <si>
    <t>Toutes les contraintes liées à la réglementation du travail sont identifiées et prises en compte.</t>
  </si>
  <si>
    <t>Toutes les contraintes liées à la réglementation sociale européenne sont identifiées et prises en compte.</t>
  </si>
  <si>
    <t>C 242</t>
  </si>
  <si>
    <t>Vérifier la compatibilité des ordres de transport.</t>
  </si>
  <si>
    <t>L’ensemble des ordres de transports est compatible au regard des réglementations.</t>
  </si>
  <si>
    <t>C 243</t>
  </si>
  <si>
    <t>Proposer une organisation de ses activités.</t>
  </si>
  <si>
    <t>Les activités précédemment effectuées sont prises en compte dans l’organisation de son travail.</t>
  </si>
  <si>
    <t>La proposition d’organisation des activités est adaptée aux contraintes imposées (réglementaires, du client,…).</t>
  </si>
  <si>
    <t>C244</t>
  </si>
  <si>
    <t>Justifier, argumenter les différentes propositions en gérant les coûts.</t>
  </si>
  <si>
    <t>Les incompatibilités et anomalies constatées sont toutes signalées.</t>
  </si>
  <si>
    <t>La proposition faite est adaptée, elle prend en compte les règles d’hygiène de vie,</t>
  </si>
  <si>
    <t>La proposition faite est adaptée, elle prend en compte les coûts de revient du transport,</t>
  </si>
  <si>
    <t>La proposition faite est adaptée, elle prend en compte la rentabilité</t>
  </si>
  <si>
    <t>L’argumentation est adaptée, elle est correctement étayée.</t>
  </si>
  <si>
    <t>C 245</t>
  </si>
  <si>
    <t>Gérer ses différentes activités en appliquant les règlementations en vigueur</t>
  </si>
  <si>
    <t>La gestion des temps de conduite, de repos et autres activités est optimisée.</t>
  </si>
  <si>
    <t>La R.S.E. et le code du travail sont respectés.</t>
  </si>
  <si>
    <t>Les réglementations spécifiques aux pays traversés sont respectées.</t>
  </si>
  <si>
    <t>C 246</t>
  </si>
  <si>
    <t>Gérer les aléas et signaler les anomalies constatées.</t>
  </si>
  <si>
    <t>Les différents aléas sont gérés dans l'intérêt de toutes les parties.</t>
  </si>
  <si>
    <t>Les anomalies et incidents constatés sont transmis dans le respect des procédures de l’entreprise.</t>
  </si>
  <si>
    <t>C2.5 : Gérer des litiges, les anomalies, les incidents et accidents</t>
  </si>
  <si>
    <t>C 251</t>
  </si>
  <si>
    <t>Analyser un problème, une difficulté.</t>
  </si>
  <si>
    <t>Le litige ou l’anomalie sont clairement identifiés.</t>
  </si>
  <si>
    <t>Les différents interlocuteurs sont identifiés.</t>
  </si>
  <si>
    <t>L’analyse faite est cohérente par rapport au problème rencontré.</t>
  </si>
  <si>
    <t>L’entreprise et le client sont rapidement informés des difficultés rencontrées ainsi que des anomalies et incidents constatés.</t>
  </si>
  <si>
    <t>Les documents obligatoires sont renseignés.</t>
  </si>
  <si>
    <t>C 252</t>
  </si>
  <si>
    <t>Identifier un dysfonctionnement lié au véhicule.</t>
  </si>
  <si>
    <t>Les incidents techniques liés au(x) véhicule(s) sont détectés.</t>
  </si>
  <si>
    <t>Le dysfonctionnement est localisé d’une façon logique et précise.</t>
  </si>
  <si>
    <t>Un compte-rendu oral exploitable est effectué.</t>
  </si>
  <si>
    <t>C 253</t>
  </si>
  <si>
    <t>Proposer des solutions de traitement des litiges ou anomalies ou incidents.</t>
  </si>
  <si>
    <t>Les propositions faites à la hiérarchie permettant de résoudre les difficultés de la situation rencontrée, sont adaptées et préserves l’intérêt de l’entreprise.</t>
  </si>
  <si>
    <t>Les propositions sont correctement argumentées.</t>
  </si>
  <si>
    <t>C 254</t>
  </si>
  <si>
    <t>Mettre en oeuvre les solutions validées.</t>
  </si>
  <si>
    <t>La solution retenue est mise en oeuvre dans les meilleurs délais et les meilleures conditions pour satisfaire le client et l’entreprise.</t>
  </si>
  <si>
    <t>C255</t>
  </si>
  <si>
    <t>Gérer les situations d’accident ou d’incident avec un véhicule.</t>
  </si>
  <si>
    <t>Le constat amiable est renseigné contradictoirement et exploitable.</t>
  </si>
  <si>
    <t>Les mesures de protection, d’alerte et de secours sont mises en oeuvre en conformité.</t>
  </si>
  <si>
    <t>C 256</t>
  </si>
  <si>
    <t>Les anomalies constatées sont transmises en conformité.</t>
  </si>
  <si>
    <t></t>
  </si>
  <si>
    <t>Taux pondéré de compétences et indicateurs évalués :</t>
  </si>
  <si>
    <r>
      <t>Note brute obtenue par calcul automatique (</t>
    </r>
    <r>
      <rPr>
        <sz val="10"/>
        <color indexed="10"/>
        <rFont val="Arial"/>
        <family val="2"/>
      </rPr>
      <t>attention</t>
    </r>
    <r>
      <rPr>
        <sz val="10"/>
        <rFont val="Arial"/>
        <family val="2"/>
      </rPr>
      <t xml:space="preserve"> si le taux de couverture des compétences est inférieur à 30%, la note n'est pas recevable) :</t>
    </r>
  </si>
  <si>
    <t xml:space="preserve"> /20</t>
  </si>
  <si>
    <t>Note sur 20 proposée au jury* :</t>
  </si>
  <si>
    <t>/20</t>
  </si>
  <si>
    <t>Note x coefficient :</t>
  </si>
  <si>
    <t>/60</t>
  </si>
  <si>
    <t>* La note proposée, arrondie au demi point, est décidée par les évaluateurs à partir de la note brute qui peut être modulée de + 0 à + 1 point en fonction de la réactivité du candidat ou de tout autre attitude professionnelle positive observée.</t>
  </si>
  <si>
    <r>
      <t>ATTENTION</t>
    </r>
    <r>
      <rPr>
        <i/>
        <sz val="8"/>
        <color indexed="10"/>
        <rFont val="Arial"/>
        <family val="2"/>
      </rPr>
      <t xml:space="preserve">, </t>
    </r>
    <r>
      <rPr>
        <i/>
        <sz val="8"/>
        <color indexed="12"/>
        <rFont val="Arial"/>
        <family val="2"/>
      </rPr>
      <t xml:space="preserve">si le symbole </t>
    </r>
    <r>
      <rPr>
        <sz val="8"/>
        <color indexed="10"/>
        <rFont val="Arial"/>
        <family val="2"/>
      </rPr>
      <t>◄</t>
    </r>
    <r>
      <rPr>
        <i/>
        <sz val="8"/>
        <color indexed="12"/>
        <rFont val="Arial"/>
        <family val="2"/>
      </rPr>
      <t xml:space="preserve"> apparait dans cette colonne c'est qu'il y a plus d'une valeur donnée à l'indicateur, il faut alors choisir laquelle retenir</t>
    </r>
  </si>
  <si>
    <t>Appréciation globale</t>
  </si>
  <si>
    <t>Noms des Correcteurs</t>
  </si>
  <si>
    <t>Signatures</t>
  </si>
  <si>
    <t>Date</t>
  </si>
  <si>
    <t>CHAZEL Jean-Marie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</si>
</sst>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i/>
      <sz val="10"/>
      <color indexed="10"/>
      <name val="Arial"/>
      <family val="2"/>
    </font>
    <font>
      <i/>
      <sz val="12"/>
      <color indexed="10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10"/>
      <color indexed="56"/>
      <name val="Arial"/>
      <family val="2"/>
    </font>
    <font>
      <sz val="10"/>
      <color indexed="9"/>
      <name val="Arial"/>
      <family val="2"/>
    </font>
    <font>
      <b/>
      <sz val="10"/>
      <color indexed="56"/>
      <name val="Arial"/>
      <family val="2"/>
    </font>
    <font>
      <b/>
      <i/>
      <sz val="10"/>
      <name val="Arial"/>
      <family val="2"/>
    </font>
    <font>
      <b/>
      <sz val="10"/>
      <color indexed="9"/>
      <name val="Arial"/>
      <family val="2"/>
    </font>
    <font>
      <b/>
      <i/>
      <sz val="10"/>
      <color indexed="10"/>
      <name val="Arial"/>
      <family val="2"/>
    </font>
    <font>
      <b/>
      <sz val="10"/>
      <color indexed="30"/>
      <name val="Wingdings"/>
      <charset val="2"/>
    </font>
    <font>
      <b/>
      <i/>
      <sz val="10"/>
      <color indexed="12"/>
      <name val="Arial"/>
      <family val="2"/>
    </font>
    <font>
      <b/>
      <sz val="12"/>
      <color indexed="10"/>
      <name val="Arial"/>
      <family val="2"/>
    </font>
    <font>
      <i/>
      <sz val="9"/>
      <name val="Arial"/>
      <family val="2"/>
    </font>
    <font>
      <b/>
      <i/>
      <sz val="8"/>
      <color indexed="10"/>
      <name val="Arial"/>
      <family val="2"/>
    </font>
    <font>
      <i/>
      <sz val="8"/>
      <color indexed="10"/>
      <name val="Arial"/>
      <family val="2"/>
    </font>
    <font>
      <b/>
      <sz val="10"/>
      <color indexed="12"/>
      <name val="Arial"/>
      <family val="2"/>
    </font>
    <font>
      <sz val="9"/>
      <name val="Arial Narrow"/>
      <family val="2"/>
    </font>
    <font>
      <sz val="9"/>
      <color indexed="10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i/>
      <sz val="8"/>
      <color indexed="12"/>
      <name val="Arial"/>
      <family val="2"/>
    </font>
    <font>
      <sz val="8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 wrapText="1"/>
    </xf>
    <xf numFmtId="0" fontId="7" fillId="0" borderId="22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right" vertical="center" wrapText="1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right" vertical="center" wrapText="1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2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right" vertical="center" wrapText="1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>
      <alignment horizontal="right" vertical="center" wrapText="1"/>
    </xf>
    <xf numFmtId="0" fontId="7" fillId="0" borderId="25" xfId="0" applyFont="1" applyBorder="1" applyAlignment="1" applyProtection="1">
      <alignment horizontal="right" vertical="center" wrapText="1"/>
      <protection locked="0"/>
    </xf>
    <xf numFmtId="0" fontId="1" fillId="0" borderId="2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3" xfId="0" applyFont="1" applyBorder="1" applyAlignment="1" applyProtection="1">
      <alignment horizontal="center" vertical="center" wrapText="1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33" xfId="0" applyFont="1" applyBorder="1" applyAlignment="1" applyProtection="1">
      <alignment horizontal="center" vertical="center" wrapText="1"/>
      <protection locked="0"/>
    </xf>
    <xf numFmtId="0" fontId="5" fillId="0" borderId="34" xfId="0" applyFont="1" applyBorder="1" applyAlignment="1" applyProtection="1">
      <alignment horizontal="center" vertical="center" wrapText="1"/>
      <protection locked="0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9" fontId="13" fillId="0" borderId="0" xfId="0" applyNumberFormat="1" applyFont="1" applyAlignment="1">
      <alignment vertical="center"/>
    </xf>
    <xf numFmtId="9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2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vertical="center"/>
    </xf>
    <xf numFmtId="0" fontId="15" fillId="0" borderId="0" xfId="0" applyFont="1"/>
    <xf numFmtId="0" fontId="12" fillId="0" borderId="39" xfId="0" applyFont="1" applyBorder="1" applyAlignment="1">
      <alignment vertical="center"/>
    </xf>
    <xf numFmtId="9" fontId="16" fillId="0" borderId="0" xfId="0" applyNumberFormat="1" applyFont="1" applyAlignment="1">
      <alignment vertical="center"/>
    </xf>
    <xf numFmtId="9" fontId="5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9" fontId="14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9" fontId="16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7" fillId="0" borderId="25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>
      <alignment horizontal="center" vertical="center"/>
    </xf>
    <xf numFmtId="0" fontId="11" fillId="0" borderId="47" xfId="0" applyFont="1" applyBorder="1" applyAlignment="1">
      <alignment horizontal="left" vertical="center"/>
    </xf>
    <xf numFmtId="0" fontId="5" fillId="0" borderId="34" xfId="0" applyFont="1" applyBorder="1" applyAlignment="1" applyProtection="1">
      <alignment horizontal="center" vertical="center"/>
      <protection locked="0"/>
    </xf>
    <xf numFmtId="0" fontId="5" fillId="0" borderId="48" xfId="0" applyFont="1" applyBorder="1" applyAlignment="1" applyProtection="1">
      <alignment horizontal="center" vertical="center"/>
      <protection locked="0"/>
    </xf>
    <xf numFmtId="0" fontId="11" fillId="0" borderId="25" xfId="0" applyFont="1" applyBorder="1" applyAlignment="1">
      <alignment horizontal="left" vertical="center" wrapText="1"/>
    </xf>
    <xf numFmtId="0" fontId="11" fillId="0" borderId="49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0" applyFont="1" applyBorder="1" applyAlignment="1">
      <alignment vertical="center"/>
    </xf>
    <xf numFmtId="0" fontId="5" fillId="0" borderId="28" xfId="0" applyFont="1" applyBorder="1" applyAlignment="1">
      <alignment vertical="center" wrapText="1"/>
    </xf>
    <xf numFmtId="0" fontId="5" fillId="0" borderId="28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9" fontId="15" fillId="0" borderId="0" xfId="0" applyNumberFormat="1" applyFont="1" applyAlignment="1">
      <alignment vertical="center"/>
    </xf>
    <xf numFmtId="0" fontId="11" fillId="0" borderId="26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0" borderId="25" xfId="0" applyFont="1" applyBorder="1" applyAlignment="1">
      <alignment vertical="center" wrapText="1"/>
    </xf>
    <xf numFmtId="0" fontId="5" fillId="0" borderId="11" xfId="0" applyFont="1" applyBorder="1" applyAlignment="1" applyProtection="1">
      <alignment horizontal="center" vertical="center"/>
      <protection locked="0"/>
    </xf>
    <xf numFmtId="0" fontId="11" fillId="0" borderId="25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5" fillId="0" borderId="22" xfId="0" applyFont="1" applyBorder="1" applyAlignment="1">
      <alignment vertical="center" wrapText="1"/>
    </xf>
    <xf numFmtId="0" fontId="11" fillId="0" borderId="34" xfId="0" applyFont="1" applyBorder="1" applyAlignment="1">
      <alignment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11" fillId="3" borderId="32" xfId="0" applyFont="1" applyFill="1" applyBorder="1" applyAlignment="1">
      <alignment horizontal="center" vertical="center"/>
    </xf>
    <xf numFmtId="0" fontId="5" fillId="0" borderId="26" xfId="0" applyFont="1" applyBorder="1" applyAlignment="1">
      <alignment vertical="center" wrapText="1"/>
    </xf>
    <xf numFmtId="0" fontId="11" fillId="0" borderId="26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0" fontId="15" fillId="0" borderId="0" xfId="0" applyNumberFormat="1" applyFont="1"/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8" fillId="0" borderId="0" xfId="0" applyFont="1" applyAlignment="1">
      <alignment vertical="top" wrapText="1"/>
    </xf>
    <xf numFmtId="0" fontId="27" fillId="0" borderId="0" xfId="0" applyFont="1" applyAlignment="1" applyProtection="1">
      <alignment vertical="top" wrapText="1"/>
      <protection locked="0"/>
    </xf>
    <xf numFmtId="0" fontId="27" fillId="0" borderId="0" xfId="0" applyFont="1" applyAlignment="1" applyProtection="1">
      <alignment horizontal="center" vertical="top" wrapText="1"/>
      <protection locked="0"/>
    </xf>
    <xf numFmtId="0" fontId="2" fillId="0" borderId="54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25" xfId="0" applyFont="1" applyBorder="1" applyAlignment="1">
      <alignment horizontal="right" vertical="center" wrapText="1"/>
    </xf>
    <xf numFmtId="0" fontId="5" fillId="0" borderId="9" xfId="0" applyFont="1" applyBorder="1" applyAlignment="1" applyProtection="1">
      <alignment horizontal="right" vertical="center" wrapText="1"/>
      <protection locked="0"/>
    </xf>
    <xf numFmtId="0" fontId="5" fillId="0" borderId="26" xfId="0" applyFont="1" applyBorder="1" applyAlignment="1" applyProtection="1">
      <alignment horizontal="right" vertical="center" wrapText="1"/>
      <protection locked="0"/>
    </xf>
    <xf numFmtId="0" fontId="5" fillId="0" borderId="19" xfId="0" applyFont="1" applyBorder="1" applyAlignment="1">
      <alignment horizontal="right" vertical="center"/>
    </xf>
    <xf numFmtId="0" fontId="5" fillId="0" borderId="35" xfId="0" applyFont="1" applyBorder="1" applyAlignment="1">
      <alignment horizontal="right" vertical="center"/>
    </xf>
    <xf numFmtId="0" fontId="5" fillId="0" borderId="13" xfId="0" applyFont="1" applyBorder="1" applyAlignment="1">
      <alignment horizontal="right" vertical="center"/>
    </xf>
    <xf numFmtId="0" fontId="5" fillId="0" borderId="36" xfId="0" applyFont="1" applyBorder="1" applyAlignment="1">
      <alignment horizontal="right" vertical="center"/>
    </xf>
    <xf numFmtId="0" fontId="5" fillId="0" borderId="32" xfId="0" applyFont="1" applyBorder="1" applyAlignment="1">
      <alignment horizontal="right" vertical="center" wrapText="1"/>
    </xf>
    <xf numFmtId="0" fontId="5" fillId="0" borderId="26" xfId="0" applyFont="1" applyBorder="1" applyAlignment="1">
      <alignment horizontal="right" vertical="center" wrapText="1"/>
    </xf>
    <xf numFmtId="0" fontId="5" fillId="0" borderId="8" xfId="0" applyFont="1" applyBorder="1" applyAlignment="1" applyProtection="1">
      <alignment horizontal="right" vertical="center" wrapText="1"/>
      <protection locked="0"/>
    </xf>
    <xf numFmtId="0" fontId="5" fillId="0" borderId="25" xfId="0" applyFont="1" applyBorder="1" applyAlignment="1" applyProtection="1">
      <alignment horizontal="right" vertical="center" wrapText="1"/>
      <protection locked="0"/>
    </xf>
    <xf numFmtId="0" fontId="5" fillId="0" borderId="9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right" vertical="center" wrapText="1"/>
    </xf>
    <xf numFmtId="0" fontId="5" fillId="0" borderId="22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3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15" fontId="5" fillId="0" borderId="9" xfId="0" applyNumberFormat="1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5" fillId="0" borderId="13" xfId="0" applyFont="1" applyBorder="1" applyAlignment="1" applyProtection="1">
      <alignment horizontal="left" vertical="center"/>
      <protection locked="0"/>
    </xf>
    <xf numFmtId="0" fontId="5" fillId="0" borderId="14" xfId="0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5" fillId="0" borderId="32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Protection="1">
      <protection locked="0"/>
    </xf>
    <xf numFmtId="14" fontId="5" fillId="0" borderId="12" xfId="0" applyNumberFormat="1" applyFont="1" applyBorder="1" applyAlignment="1" applyProtection="1">
      <alignment horizontal="center" vertical="center"/>
      <protection locked="0"/>
    </xf>
    <xf numFmtId="14" fontId="5" fillId="0" borderId="28" xfId="0" applyNumberFormat="1" applyFont="1" applyBorder="1" applyAlignment="1" applyProtection="1">
      <alignment horizontal="center" vertical="center"/>
      <protection locked="0"/>
    </xf>
    <xf numFmtId="14" fontId="5" fillId="0" borderId="29" xfId="0" applyNumberFormat="1" applyFont="1" applyBorder="1" applyAlignment="1" applyProtection="1">
      <alignment horizontal="center" vertical="center"/>
      <protection locked="0"/>
    </xf>
    <xf numFmtId="0" fontId="5" fillId="0" borderId="40" xfId="0" applyFont="1" applyBorder="1" applyAlignment="1" applyProtection="1">
      <alignment horizontal="center" vertical="center" wrapText="1"/>
      <protection locked="0"/>
    </xf>
    <xf numFmtId="0" fontId="1" fillId="0" borderId="36" xfId="0" applyFont="1" applyBorder="1" applyProtection="1">
      <protection locked="0"/>
    </xf>
    <xf numFmtId="14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20" xfId="0" applyFont="1" applyBorder="1" applyAlignment="1">
      <alignment horizontal="right" vertical="center"/>
    </xf>
    <xf numFmtId="0" fontId="25" fillId="0" borderId="20" xfId="0" applyFont="1" applyBorder="1" applyAlignment="1">
      <alignment horizontal="right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8" fillId="4" borderId="39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27" fillId="0" borderId="19" xfId="0" applyFont="1" applyBorder="1" applyAlignment="1" applyProtection="1">
      <alignment vertical="top" wrapText="1"/>
      <protection locked="0"/>
    </xf>
    <xf numFmtId="0" fontId="27" fillId="0" borderId="20" xfId="0" applyFont="1" applyBorder="1" applyAlignment="1" applyProtection="1">
      <alignment vertical="top" wrapText="1"/>
      <protection locked="0"/>
    </xf>
    <xf numFmtId="0" fontId="27" fillId="0" borderId="21" xfId="0" applyFont="1" applyBorder="1" applyAlignment="1" applyProtection="1">
      <alignment vertical="top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" fillId="0" borderId="53" xfId="0" applyFont="1" applyBorder="1"/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164" fontId="3" fillId="0" borderId="16" xfId="0" applyNumberFormat="1" applyFont="1" applyBorder="1" applyAlignment="1" applyProtection="1">
      <alignment horizontal="center" vertical="center"/>
      <protection locked="0"/>
    </xf>
    <xf numFmtId="164" fontId="3" fillId="0" borderId="17" xfId="0" applyNumberFormat="1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4" fontId="22" fillId="4" borderId="16" xfId="0" applyNumberFormat="1" applyFont="1" applyFill="1" applyBorder="1" applyAlignment="1">
      <alignment horizontal="center" vertical="center"/>
    </xf>
    <xf numFmtId="164" fontId="22" fillId="4" borderId="17" xfId="0" applyNumberFormat="1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  <xf numFmtId="0" fontId="5" fillId="0" borderId="47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11" fillId="3" borderId="19" xfId="0" applyFont="1" applyFill="1" applyBorder="1" applyAlignment="1">
      <alignment horizontal="center" vertical="center"/>
    </xf>
    <xf numFmtId="0" fontId="5" fillId="0" borderId="47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 shrinkToFit="1"/>
    </xf>
    <xf numFmtId="0" fontId="9" fillId="0" borderId="0" xfId="0" applyFont="1" applyAlignment="1">
      <alignment horizontal="left" vertical="center" wrapText="1" shrinkToFit="1"/>
    </xf>
    <xf numFmtId="0" fontId="11" fillId="3" borderId="41" xfId="0" applyFont="1" applyFill="1" applyBorder="1" applyAlignment="1">
      <alignment horizontal="center" vertical="center"/>
    </xf>
    <xf numFmtId="0" fontId="5" fillId="0" borderId="49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2" fillId="2" borderId="37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3" fillId="0" borderId="37" xfId="0" applyFont="1" applyBorder="1" applyAlignment="1">
      <alignment horizontal="center" vertical="center" wrapText="1" shrinkToFit="1"/>
    </xf>
    <xf numFmtId="0" fontId="3" fillId="0" borderId="38" xfId="0" applyFont="1" applyBorder="1" applyAlignment="1">
      <alignment horizontal="center" vertical="center" wrapText="1" shrinkToFit="1"/>
    </xf>
    <xf numFmtId="0" fontId="3" fillId="0" borderId="19" xfId="0" applyFont="1" applyBorder="1" applyAlignment="1">
      <alignment horizontal="center" vertical="center" wrapText="1" shrinkToFit="1"/>
    </xf>
    <xf numFmtId="0" fontId="3" fillId="0" borderId="21" xfId="0" applyFont="1" applyBorder="1" applyAlignment="1">
      <alignment horizontal="center" vertical="center" wrapText="1" shrinkToFit="1"/>
    </xf>
    <xf numFmtId="0" fontId="3" fillId="0" borderId="3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zoomScaleNormal="100" workbookViewId="0">
      <selection activeCell="B8" sqref="B8:F8"/>
    </sheetView>
  </sheetViews>
  <sheetFormatPr baseColWidth="10" defaultColWidth="11.42578125" defaultRowHeight="12.75" customHeight="1" x14ac:dyDescent="0.25"/>
  <cols>
    <col min="1" max="1" width="65.5703125" style="1" customWidth="1"/>
    <col min="2" max="2" width="4.42578125" style="1" customWidth="1"/>
    <col min="3" max="3" width="4.85546875" style="1" customWidth="1"/>
    <col min="4" max="4" width="73.42578125" style="1" customWidth="1"/>
    <col min="5" max="5" width="4.42578125" style="1" customWidth="1"/>
    <col min="6" max="6" width="5.140625" style="1" customWidth="1"/>
    <col min="7" max="7" width="4.42578125" style="1" customWidth="1"/>
    <col min="8" max="8" width="11.42578125" style="1" customWidth="1"/>
    <col min="9" max="16384" width="11.42578125" style="1"/>
  </cols>
  <sheetData>
    <row r="1" spans="1:6" ht="15" customHeight="1" x14ac:dyDescent="0.25">
      <c r="A1" s="107" t="s">
        <v>0</v>
      </c>
      <c r="B1" s="108"/>
      <c r="C1" s="108"/>
      <c r="D1" s="108"/>
      <c r="E1" s="108"/>
      <c r="F1" s="109"/>
    </row>
    <row r="2" spans="1:6" ht="18.75" customHeight="1" x14ac:dyDescent="0.25">
      <c r="A2" s="2" t="s">
        <v>1</v>
      </c>
      <c r="B2" s="138" t="s">
        <v>2</v>
      </c>
      <c r="C2" s="139"/>
      <c r="D2" s="139"/>
      <c r="E2" s="139"/>
      <c r="F2" s="140"/>
    </row>
    <row r="3" spans="1:6" ht="18.75" customHeight="1" x14ac:dyDescent="0.25">
      <c r="A3" s="3" t="s">
        <v>3</v>
      </c>
      <c r="B3" s="141" t="s">
        <v>4</v>
      </c>
      <c r="C3" s="142"/>
      <c r="D3" s="142"/>
      <c r="E3" s="142"/>
      <c r="F3" s="143"/>
    </row>
    <row r="4" spans="1:6" ht="18.75" customHeight="1" x14ac:dyDescent="0.25">
      <c r="A4" s="3" t="s">
        <v>5</v>
      </c>
      <c r="B4" s="144" t="s">
        <v>6</v>
      </c>
      <c r="C4" s="145"/>
      <c r="D4" s="145"/>
      <c r="E4" s="145"/>
      <c r="F4" s="146"/>
    </row>
    <row r="5" spans="1:6" ht="18.75" customHeight="1" x14ac:dyDescent="0.25">
      <c r="A5" s="3" t="s">
        <v>7</v>
      </c>
      <c r="B5" s="147" t="s">
        <v>8</v>
      </c>
      <c r="C5" s="148"/>
      <c r="D5" s="148"/>
      <c r="E5" s="148"/>
      <c r="F5" s="149"/>
    </row>
    <row r="6" spans="1:6" ht="18.75" customHeight="1" x14ac:dyDescent="0.25">
      <c r="A6" s="4" t="s">
        <v>9</v>
      </c>
      <c r="B6" s="125" t="s">
        <v>8</v>
      </c>
      <c r="C6" s="126"/>
      <c r="D6" s="126"/>
      <c r="E6" s="126"/>
      <c r="F6" s="127"/>
    </row>
    <row r="7" spans="1:6" ht="18.75" customHeight="1" x14ac:dyDescent="0.25">
      <c r="A7" s="4" t="s">
        <v>10</v>
      </c>
      <c r="B7" s="128" t="s">
        <v>8</v>
      </c>
      <c r="C7" s="126"/>
      <c r="D7" s="126"/>
      <c r="E7" s="126"/>
      <c r="F7" s="127"/>
    </row>
    <row r="8" spans="1:6" ht="18.75" customHeight="1" x14ac:dyDescent="0.25">
      <c r="A8" s="3" t="s">
        <v>11</v>
      </c>
      <c r="B8" s="129" t="s">
        <v>8</v>
      </c>
      <c r="C8" s="130"/>
      <c r="D8" s="130"/>
      <c r="E8" s="130"/>
      <c r="F8" s="131"/>
    </row>
    <row r="9" spans="1:6" ht="18.75" customHeight="1" x14ac:dyDescent="0.25">
      <c r="A9" s="5" t="s">
        <v>12</v>
      </c>
      <c r="B9" s="132" t="s">
        <v>6</v>
      </c>
      <c r="C9" s="133"/>
      <c r="D9" s="133"/>
      <c r="E9" s="133"/>
      <c r="F9" s="134"/>
    </row>
    <row r="10" spans="1:6" ht="13.5" customHeight="1" x14ac:dyDescent="0.25">
      <c r="A10" s="135"/>
      <c r="B10" s="136"/>
      <c r="C10" s="136"/>
      <c r="D10" s="136"/>
      <c r="E10" s="136"/>
      <c r="F10" s="137"/>
    </row>
    <row r="11" spans="1:6" x14ac:dyDescent="0.25">
      <c r="A11" s="107" t="s">
        <v>13</v>
      </c>
      <c r="B11" s="108"/>
      <c r="C11" s="108"/>
      <c r="D11" s="108"/>
      <c r="E11" s="108"/>
      <c r="F11" s="109"/>
    </row>
    <row r="12" spans="1:6" ht="54.75" customHeight="1" x14ac:dyDescent="0.25">
      <c r="A12" s="113"/>
      <c r="B12" s="114"/>
      <c r="C12" s="114"/>
      <c r="D12" s="114"/>
      <c r="E12" s="114"/>
      <c r="F12" s="115"/>
    </row>
    <row r="13" spans="1:6" ht="24.75" customHeight="1" x14ac:dyDescent="0.25">
      <c r="A13" s="116" t="s">
        <v>14</v>
      </c>
      <c r="B13" s="117"/>
      <c r="C13" s="117"/>
      <c r="D13" s="117"/>
      <c r="E13" s="117"/>
      <c r="F13" s="118"/>
    </row>
    <row r="14" spans="1:6" ht="25.5" customHeight="1" x14ac:dyDescent="0.25">
      <c r="A14" s="6" t="s">
        <v>15</v>
      </c>
      <c r="B14" s="7" t="s">
        <v>16</v>
      </c>
      <c r="C14" s="8" t="s">
        <v>17</v>
      </c>
      <c r="D14" s="9" t="s">
        <v>18</v>
      </c>
      <c r="E14" s="10" t="s">
        <v>16</v>
      </c>
      <c r="F14" s="11" t="s">
        <v>19</v>
      </c>
    </row>
    <row r="15" spans="1:6" ht="25.5" customHeight="1" x14ac:dyDescent="0.25">
      <c r="A15" s="12" t="s">
        <v>20</v>
      </c>
      <c r="B15" s="13" t="s">
        <v>16</v>
      </c>
      <c r="C15" s="14" t="s">
        <v>21</v>
      </c>
      <c r="D15" s="15" t="s">
        <v>22</v>
      </c>
      <c r="E15" s="16"/>
      <c r="F15" s="11" t="s">
        <v>23</v>
      </c>
    </row>
    <row r="16" spans="1:6" ht="25.5" customHeight="1" x14ac:dyDescent="0.25">
      <c r="A16" s="12" t="s">
        <v>24</v>
      </c>
      <c r="B16" s="13" t="s">
        <v>16</v>
      </c>
      <c r="C16" s="14" t="s">
        <v>25</v>
      </c>
      <c r="D16" s="15" t="s">
        <v>26</v>
      </c>
      <c r="E16" s="16" t="s">
        <v>16</v>
      </c>
      <c r="F16" s="11" t="s">
        <v>27</v>
      </c>
    </row>
    <row r="17" spans="1:6" ht="25.5" customHeight="1" x14ac:dyDescent="0.25">
      <c r="A17" s="12" t="s">
        <v>28</v>
      </c>
      <c r="B17" s="13" t="s">
        <v>16</v>
      </c>
      <c r="C17" s="14" t="s">
        <v>29</v>
      </c>
      <c r="D17" s="15" t="s">
        <v>30</v>
      </c>
      <c r="E17" s="13"/>
      <c r="F17" s="11" t="s">
        <v>31</v>
      </c>
    </row>
    <row r="18" spans="1:6" ht="25.5" customHeight="1" x14ac:dyDescent="0.25">
      <c r="A18" s="12" t="s">
        <v>32</v>
      </c>
      <c r="B18" s="13" t="s">
        <v>16</v>
      </c>
      <c r="C18" s="14" t="s">
        <v>33</v>
      </c>
      <c r="D18" s="15" t="s">
        <v>34</v>
      </c>
      <c r="E18" s="13"/>
      <c r="F18" s="11" t="s">
        <v>35</v>
      </c>
    </row>
    <row r="19" spans="1:6" ht="25.5" customHeight="1" x14ac:dyDescent="0.25">
      <c r="A19" s="12" t="s">
        <v>36</v>
      </c>
      <c r="B19" s="13" t="s">
        <v>16</v>
      </c>
      <c r="C19" s="14" t="s">
        <v>37</v>
      </c>
      <c r="D19" s="17"/>
      <c r="E19" s="18"/>
      <c r="F19" s="19"/>
    </row>
    <row r="20" spans="1:6" ht="25.5" customHeight="1" x14ac:dyDescent="0.25">
      <c r="A20" s="119"/>
      <c r="B20" s="120"/>
      <c r="C20" s="120"/>
      <c r="D20" s="120"/>
      <c r="E20" s="120"/>
      <c r="F20" s="121"/>
    </row>
    <row r="21" spans="1:6" ht="14.25" customHeight="1" x14ac:dyDescent="0.25">
      <c r="A21" s="122" t="s">
        <v>38</v>
      </c>
      <c r="B21" s="123"/>
      <c r="C21" s="123"/>
      <c r="D21" s="123"/>
      <c r="E21" s="123"/>
      <c r="F21" s="124"/>
    </row>
    <row r="22" spans="1:6" s="20" customFormat="1" x14ac:dyDescent="0.25">
      <c r="A22" s="107" t="s">
        <v>39</v>
      </c>
      <c r="B22" s="108"/>
      <c r="C22" s="108"/>
      <c r="D22" s="108"/>
      <c r="E22" s="108"/>
      <c r="F22" s="109"/>
    </row>
    <row r="23" spans="1:6" s="20" customFormat="1" ht="18" customHeight="1" x14ac:dyDescent="0.25">
      <c r="A23" s="110" t="s">
        <v>40</v>
      </c>
      <c r="B23" s="111"/>
      <c r="C23" s="21" t="s">
        <v>16</v>
      </c>
      <c r="D23" s="112" t="s">
        <v>41</v>
      </c>
      <c r="E23" s="111"/>
      <c r="F23" s="22"/>
    </row>
    <row r="24" spans="1:6" s="20" customFormat="1" ht="18" customHeight="1" x14ac:dyDescent="0.25">
      <c r="A24" s="102" t="s">
        <v>42</v>
      </c>
      <c r="B24" s="103"/>
      <c r="C24" s="23"/>
      <c r="D24" s="106" t="s">
        <v>43</v>
      </c>
      <c r="E24" s="103"/>
      <c r="F24" s="24" t="s">
        <v>16</v>
      </c>
    </row>
    <row r="25" spans="1:6" s="20" customFormat="1" ht="18" customHeight="1" x14ac:dyDescent="0.25">
      <c r="A25" s="102" t="s">
        <v>44</v>
      </c>
      <c r="B25" s="103"/>
      <c r="C25" s="23"/>
      <c r="D25" s="106" t="s">
        <v>45</v>
      </c>
      <c r="E25" s="103"/>
      <c r="F25" s="24" t="s">
        <v>16</v>
      </c>
    </row>
    <row r="26" spans="1:6" s="20" customFormat="1" ht="18" customHeight="1" x14ac:dyDescent="0.25">
      <c r="A26" s="102" t="s">
        <v>46</v>
      </c>
      <c r="B26" s="103"/>
      <c r="C26" s="23"/>
      <c r="D26" s="106" t="s">
        <v>47</v>
      </c>
      <c r="E26" s="103"/>
      <c r="F26" s="24" t="s">
        <v>16</v>
      </c>
    </row>
    <row r="27" spans="1:6" s="20" customFormat="1" ht="18" customHeight="1" x14ac:dyDescent="0.25">
      <c r="A27" s="102" t="s">
        <v>48</v>
      </c>
      <c r="B27" s="103"/>
      <c r="C27" s="23" t="s">
        <v>16</v>
      </c>
      <c r="D27" s="106" t="s">
        <v>49</v>
      </c>
      <c r="E27" s="103"/>
      <c r="F27" s="24"/>
    </row>
    <row r="28" spans="1:6" s="20" customFormat="1" ht="18" customHeight="1" x14ac:dyDescent="0.25">
      <c r="A28" s="102" t="s">
        <v>50</v>
      </c>
      <c r="B28" s="103"/>
      <c r="C28" s="23" t="s">
        <v>16</v>
      </c>
      <c r="D28" s="106" t="s">
        <v>51</v>
      </c>
      <c r="E28" s="103"/>
      <c r="F28" s="24" t="s">
        <v>16</v>
      </c>
    </row>
    <row r="29" spans="1:6" s="20" customFormat="1" ht="18" customHeight="1" x14ac:dyDescent="0.25">
      <c r="A29" s="102" t="s">
        <v>52</v>
      </c>
      <c r="B29" s="103"/>
      <c r="C29" s="23"/>
      <c r="D29" s="106" t="s">
        <v>53</v>
      </c>
      <c r="E29" s="103"/>
      <c r="F29" s="24"/>
    </row>
    <row r="30" spans="1:6" s="20" customFormat="1" ht="18" customHeight="1" x14ac:dyDescent="0.25">
      <c r="A30" s="102" t="s">
        <v>54</v>
      </c>
      <c r="B30" s="103"/>
      <c r="C30" s="23"/>
      <c r="D30" s="106" t="s">
        <v>55</v>
      </c>
      <c r="E30" s="103"/>
      <c r="F30" s="24"/>
    </row>
    <row r="31" spans="1:6" s="20" customFormat="1" ht="18" customHeight="1" x14ac:dyDescent="0.25">
      <c r="A31" s="102" t="s">
        <v>56</v>
      </c>
      <c r="B31" s="103"/>
      <c r="C31" s="23"/>
      <c r="D31" s="106" t="s">
        <v>57</v>
      </c>
      <c r="E31" s="103"/>
      <c r="F31" s="24"/>
    </row>
    <row r="32" spans="1:6" s="20" customFormat="1" ht="18" customHeight="1" x14ac:dyDescent="0.25">
      <c r="A32" s="102" t="s">
        <v>58</v>
      </c>
      <c r="B32" s="103"/>
      <c r="C32" s="23"/>
      <c r="D32" s="106" t="s">
        <v>59</v>
      </c>
      <c r="E32" s="103"/>
      <c r="F32" s="24"/>
    </row>
    <row r="33" spans="1:6" s="20" customFormat="1" ht="18" customHeight="1" x14ac:dyDescent="0.25">
      <c r="A33" s="102" t="s">
        <v>60</v>
      </c>
      <c r="B33" s="103"/>
      <c r="C33" s="23"/>
      <c r="D33" s="106" t="s">
        <v>49</v>
      </c>
      <c r="E33" s="103"/>
      <c r="F33" s="24"/>
    </row>
    <row r="34" spans="1:6" s="20" customFormat="1" ht="18" customHeight="1" x14ac:dyDescent="0.25">
      <c r="A34" s="102" t="s">
        <v>61</v>
      </c>
      <c r="B34" s="103"/>
      <c r="C34" s="25"/>
      <c r="D34" s="95" t="s">
        <v>62</v>
      </c>
      <c r="E34" s="95"/>
      <c r="F34" s="24"/>
    </row>
    <row r="35" spans="1:6" s="20" customFormat="1" ht="18" customHeight="1" x14ac:dyDescent="0.25">
      <c r="A35" s="102" t="s">
        <v>63</v>
      </c>
      <c r="B35" s="103"/>
      <c r="C35" s="23" t="s">
        <v>16</v>
      </c>
      <c r="D35" s="96" t="s">
        <v>64</v>
      </c>
      <c r="E35" s="97"/>
      <c r="F35" s="24" t="s">
        <v>16</v>
      </c>
    </row>
    <row r="36" spans="1:6" s="20" customFormat="1" ht="18" customHeight="1" x14ac:dyDescent="0.25">
      <c r="A36" s="104" t="s">
        <v>65</v>
      </c>
      <c r="B36" s="105"/>
      <c r="C36" s="23" t="s">
        <v>16</v>
      </c>
      <c r="D36" s="105" t="s">
        <v>66</v>
      </c>
      <c r="E36" s="105"/>
      <c r="F36" s="24"/>
    </row>
    <row r="37" spans="1:6" s="20" customFormat="1" ht="18" customHeight="1" x14ac:dyDescent="0.25">
      <c r="A37" s="102" t="s">
        <v>67</v>
      </c>
      <c r="B37" s="103"/>
      <c r="C37" s="26"/>
      <c r="D37" s="96" t="s">
        <v>68</v>
      </c>
      <c r="E37" s="97"/>
      <c r="F37" s="24"/>
    </row>
    <row r="38" spans="1:6" s="20" customFormat="1" ht="18" customHeight="1" x14ac:dyDescent="0.25">
      <c r="A38" s="102" t="s">
        <v>69</v>
      </c>
      <c r="B38" s="103"/>
      <c r="C38" s="27"/>
      <c r="D38" s="96" t="s">
        <v>70</v>
      </c>
      <c r="E38" s="97"/>
      <c r="F38" s="24"/>
    </row>
    <row r="39" spans="1:6" s="20" customFormat="1" ht="18" customHeight="1" x14ac:dyDescent="0.25">
      <c r="A39" s="94" t="s">
        <v>71</v>
      </c>
      <c r="B39" s="95"/>
      <c r="C39" s="27" t="s">
        <v>16</v>
      </c>
      <c r="D39" s="96" t="s">
        <v>72</v>
      </c>
      <c r="E39" s="97"/>
      <c r="F39" s="24"/>
    </row>
    <row r="40" spans="1:6" s="20" customFormat="1" ht="18" customHeight="1" x14ac:dyDescent="0.25">
      <c r="A40" s="94" t="s">
        <v>73</v>
      </c>
      <c r="B40" s="95"/>
      <c r="C40" s="27"/>
      <c r="D40" s="96" t="s">
        <v>74</v>
      </c>
      <c r="E40" s="97"/>
      <c r="F40" s="24"/>
    </row>
    <row r="41" spans="1:6" s="20" customFormat="1" ht="18" customHeight="1" x14ac:dyDescent="0.25">
      <c r="A41" s="94" t="s">
        <v>75</v>
      </c>
      <c r="B41" s="95"/>
      <c r="C41" s="27" t="s">
        <v>16</v>
      </c>
      <c r="D41" s="96" t="s">
        <v>76</v>
      </c>
      <c r="E41" s="97"/>
      <c r="F41" s="24"/>
    </row>
    <row r="42" spans="1:6" s="20" customFormat="1" ht="18" customHeight="1" x14ac:dyDescent="0.25">
      <c r="A42" s="98" t="s">
        <v>77</v>
      </c>
      <c r="B42" s="99"/>
      <c r="C42" s="28"/>
      <c r="D42" s="100" t="s">
        <v>78</v>
      </c>
      <c r="E42" s="101"/>
      <c r="F42" s="29"/>
    </row>
    <row r="43" spans="1:6" ht="12.75" customHeight="1" x14ac:dyDescent="0.25">
      <c r="A43" s="91" t="s">
        <v>79</v>
      </c>
      <c r="B43" s="92"/>
      <c r="C43" s="92"/>
      <c r="D43" s="92"/>
      <c r="E43" s="92"/>
      <c r="F43" s="93"/>
    </row>
    <row r="44" spans="1:6" x14ac:dyDescent="0.25">
      <c r="A44" s="30"/>
      <c r="B44" s="30"/>
      <c r="C44" s="20"/>
      <c r="D44" s="20"/>
      <c r="E44" s="20"/>
      <c r="F44" s="20"/>
    </row>
    <row r="45" spans="1:6" x14ac:dyDescent="0.25">
      <c r="A45" s="20"/>
      <c r="B45" s="20"/>
      <c r="C45" s="20"/>
      <c r="D45" s="20"/>
      <c r="E45" s="20"/>
      <c r="F45" s="20"/>
    </row>
  </sheetData>
  <mergeCells count="57"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A10:F10"/>
    <mergeCell ref="A11:F11"/>
    <mergeCell ref="A12:F12"/>
    <mergeCell ref="A13:F13"/>
    <mergeCell ref="A20:F20"/>
    <mergeCell ref="A21:F21"/>
    <mergeCell ref="A22:F22"/>
    <mergeCell ref="A23:B23"/>
    <mergeCell ref="D23:E23"/>
    <mergeCell ref="A24:B24"/>
    <mergeCell ref="D24:E24"/>
    <mergeCell ref="A25:B25"/>
    <mergeCell ref="D25:E25"/>
    <mergeCell ref="A26:B26"/>
    <mergeCell ref="D26:E26"/>
    <mergeCell ref="A27:B27"/>
    <mergeCell ref="D27:E27"/>
    <mergeCell ref="A28:B28"/>
    <mergeCell ref="D28:E28"/>
    <mergeCell ref="A29:B29"/>
    <mergeCell ref="D29:E29"/>
    <mergeCell ref="A30:B30"/>
    <mergeCell ref="D30:E30"/>
    <mergeCell ref="A31:B31"/>
    <mergeCell ref="D31:E31"/>
    <mergeCell ref="A32:B32"/>
    <mergeCell ref="D32:E32"/>
    <mergeCell ref="A33:B33"/>
    <mergeCell ref="D33:E33"/>
    <mergeCell ref="A34:B34"/>
    <mergeCell ref="D34:E34"/>
    <mergeCell ref="A35:B35"/>
    <mergeCell ref="D35:E35"/>
    <mergeCell ref="A36:B36"/>
    <mergeCell ref="D36:E36"/>
    <mergeCell ref="A37:B37"/>
    <mergeCell ref="D37:E37"/>
    <mergeCell ref="A38:B38"/>
    <mergeCell ref="D38:E38"/>
    <mergeCell ref="A39:B39"/>
    <mergeCell ref="D39:E39"/>
    <mergeCell ref="A43:F43"/>
    <mergeCell ref="A40:B40"/>
    <mergeCell ref="D40:E40"/>
    <mergeCell ref="A41:B41"/>
    <mergeCell ref="D41:E41"/>
    <mergeCell ref="A42:B42"/>
    <mergeCell ref="D42:E42"/>
  </mergeCells>
  <printOptions horizontalCentered="1" verticalCentered="1"/>
  <pageMargins left="0.55118110236220474" right="0.59055118110236227" top="0.98425196850393704" bottom="0.98425196850393704" header="0.51181102362204722" footer="0.51181102362204722"/>
  <pageSetup paperSize="9" scale="58" orientation="portrait" useFirstPageNumber="1" horizontalDpi="4294967294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2"/>
  <sheetViews>
    <sheetView tabSelected="1" zoomScale="85" zoomScaleNormal="85" workbookViewId="0">
      <pane xSplit="2" ySplit="3" topLeftCell="C4" activePane="bottomRight" state="frozen"/>
      <selection pane="topRight"/>
      <selection pane="bottomLeft"/>
      <selection pane="bottomRight" activeCell="D8" sqref="D8"/>
    </sheetView>
  </sheetViews>
  <sheetFormatPr baseColWidth="10" defaultColWidth="11.42578125" defaultRowHeight="12.75" customHeight="1" x14ac:dyDescent="0.2"/>
  <cols>
    <col min="1" max="1" width="7" style="20" customWidth="1"/>
    <col min="2" max="2" width="47.42578125" style="31" customWidth="1"/>
    <col min="3" max="3" width="110.42578125" style="20" customWidth="1"/>
    <col min="4" max="4" width="5.42578125" style="32" customWidth="1"/>
    <col min="5" max="8" width="3.5703125" style="32" customWidth="1"/>
    <col min="9" max="9" width="4.42578125" style="33" customWidth="1"/>
    <col min="10" max="10" width="21.5703125" style="34" customWidth="1"/>
    <col min="11" max="11" width="7.140625" style="35" customWidth="1"/>
    <col min="12" max="12" width="6" style="36" customWidth="1"/>
    <col min="13" max="13" width="10.42578125" style="37" customWidth="1"/>
    <col min="14" max="14" width="6.42578125" style="36" customWidth="1"/>
    <col min="15" max="15" width="8.5703125" style="38" customWidth="1"/>
    <col min="16" max="16" width="11.42578125" style="38" customWidth="1"/>
    <col min="17" max="17" width="2.140625" style="39" customWidth="1"/>
    <col min="18" max="18" width="11.42578125" style="39" customWidth="1"/>
    <col min="19" max="20" width="11.42578125" style="36" customWidth="1"/>
    <col min="21" max="22" width="11.42578125" style="33" customWidth="1"/>
    <col min="23" max="23" width="11.42578125" style="20" customWidth="1"/>
    <col min="24" max="16384" width="11.42578125" style="20"/>
  </cols>
  <sheetData>
    <row r="1" spans="1:19" ht="34.5" customHeight="1" x14ac:dyDescent="0.2">
      <c r="A1" s="211" t="str">
        <f>Identification!B2</f>
        <v>Baccalauréat professionnel « Conducteur Transport Routier Marchandises »</v>
      </c>
      <c r="B1" s="212"/>
      <c r="C1" s="216" t="str">
        <f>Identification!B3</f>
        <v>Épreuve E2 (Unité U2) : Epreuve technologique</v>
      </c>
      <c r="D1" s="215"/>
      <c r="E1" s="216"/>
      <c r="F1" s="216"/>
      <c r="G1" s="216"/>
      <c r="H1" s="217"/>
      <c r="I1" s="40"/>
      <c r="J1" s="20"/>
      <c r="K1" s="41" t="s">
        <v>80</v>
      </c>
    </row>
    <row r="2" spans="1:19" ht="31.7" customHeight="1" x14ac:dyDescent="0.2">
      <c r="A2" s="213"/>
      <c r="B2" s="214"/>
      <c r="C2" s="218"/>
      <c r="D2" s="219"/>
      <c r="E2" s="220"/>
      <c r="F2" s="220"/>
      <c r="G2" s="220"/>
      <c r="H2" s="221"/>
      <c r="J2" s="42"/>
      <c r="K2" s="41"/>
    </row>
    <row r="3" spans="1:19" ht="13.5" customHeight="1" x14ac:dyDescent="0.2">
      <c r="A3" s="222" t="s">
        <v>81</v>
      </c>
      <c r="B3" s="223"/>
      <c r="C3" s="44" t="s">
        <v>82</v>
      </c>
      <c r="D3" s="45" t="s">
        <v>83</v>
      </c>
      <c r="E3" s="46">
        <v>0</v>
      </c>
      <c r="F3" s="46">
        <v>1</v>
      </c>
      <c r="G3" s="46">
        <v>2</v>
      </c>
      <c r="H3" s="47">
        <v>3</v>
      </c>
      <c r="K3" s="48" t="s">
        <v>84</v>
      </c>
    </row>
    <row r="4" spans="1:19" x14ac:dyDescent="0.2">
      <c r="A4" s="209"/>
      <c r="B4" s="203"/>
      <c r="C4" s="203"/>
      <c r="D4" s="203"/>
      <c r="E4" s="203"/>
      <c r="F4" s="203"/>
      <c r="G4" s="203"/>
      <c r="H4" s="204"/>
      <c r="I4" s="49"/>
      <c r="K4" s="50">
        <v>0.1</v>
      </c>
      <c r="M4" s="51">
        <f>IF(N4=1,SUMPRODUCT(M5:M14,N5:N14)/SUMPRODUCT(K5:K14,N5:N14),0)</f>
        <v>0</v>
      </c>
      <c r="N4" s="36">
        <f>IF(SUM(N5:N14)=0,0,1)</f>
        <v>0</v>
      </c>
      <c r="P4" s="38">
        <f>SUM(P5:P14)</f>
        <v>0</v>
      </c>
      <c r="Q4" s="39">
        <f t="shared" ref="Q4:Q25" si="0">IF(I4&lt;&gt;"",1,0)</f>
        <v>0</v>
      </c>
    </row>
    <row r="5" spans="1:19" x14ac:dyDescent="0.2">
      <c r="A5" s="189" t="s">
        <v>85</v>
      </c>
      <c r="B5" s="191" t="s">
        <v>86</v>
      </c>
      <c r="C5" s="52" t="s">
        <v>87</v>
      </c>
      <c r="D5" s="53" t="s">
        <v>16</v>
      </c>
      <c r="E5" s="53"/>
      <c r="F5" s="54"/>
      <c r="G5" s="54"/>
      <c r="H5" s="24"/>
      <c r="I5" s="49" t="str">
        <f>(IF(COUNTA(D5:H5)&gt;1,"◄",""))</f>
        <v/>
      </c>
      <c r="K5" s="35">
        <v>0.1</v>
      </c>
      <c r="M5" s="37">
        <f t="shared" ref="M5:M14" si="1">(IF(F5&lt;&gt;"",1/3,0)+IF(G5&lt;&gt;"",2/3,0)+IF(H5&lt;&gt;"",1,0))*K5*20</f>
        <v>0</v>
      </c>
      <c r="N5" s="36">
        <f t="shared" ref="N5:N14" si="2">IF(D5="",IF(E5&lt;&gt;"",1,0)+IF(F5&lt;&gt;"",1,0)+IF(G5&lt;&gt;"",1,0)+IF(H5&lt;&gt;"",1,0),0)</f>
        <v>0</v>
      </c>
      <c r="O5" s="38">
        <f t="shared" ref="O5:O14" si="3">IF(D5&lt;&gt;"",0,(IF(E5&lt;&gt;"",0.02,(M5/(K5*20)))))</f>
        <v>0</v>
      </c>
      <c r="P5" s="38">
        <f t="shared" ref="P5:P14" si="4">IF(D5&lt;&gt;"",0,K5)</f>
        <v>0</v>
      </c>
      <c r="Q5" s="39">
        <f t="shared" si="0"/>
        <v>0</v>
      </c>
      <c r="R5" s="39">
        <f t="shared" ref="R5:R14" si="5">IF(D5="",OR(E5&lt;&gt;"",F5&lt;&gt;"",G5&lt;&gt;"",H5&lt;&gt;""),0)</f>
        <v>0</v>
      </c>
      <c r="S5" s="36">
        <f t="shared" ref="S5:S25" si="6">IF(D5&lt;&gt;"",IF(E5&lt;&gt;"",1,0)+IF(F5&lt;&gt;"",1,0)+IF(G5&lt;&gt;"",1,0)+IF(H5&lt;&gt;"",1,0),0)</f>
        <v>0</v>
      </c>
    </row>
    <row r="6" spans="1:19" x14ac:dyDescent="0.2">
      <c r="A6" s="190"/>
      <c r="B6" s="192"/>
      <c r="C6" s="56" t="s">
        <v>88</v>
      </c>
      <c r="D6" s="53" t="s">
        <v>16</v>
      </c>
      <c r="E6" s="53"/>
      <c r="F6" s="57"/>
      <c r="G6" s="57"/>
      <c r="H6" s="58"/>
      <c r="I6" s="49" t="str">
        <f t="shared" ref="I6:I69" si="7">(IF(COUNTA(D6:H6)&gt;1,"◄",""))</f>
        <v/>
      </c>
      <c r="K6" s="35">
        <v>0.1</v>
      </c>
      <c r="M6" s="37">
        <f t="shared" si="1"/>
        <v>0</v>
      </c>
      <c r="N6" s="36">
        <f t="shared" si="2"/>
        <v>0</v>
      </c>
      <c r="O6" s="38">
        <f t="shared" si="3"/>
        <v>0</v>
      </c>
      <c r="P6" s="38">
        <f t="shared" si="4"/>
        <v>0</v>
      </c>
      <c r="Q6" s="39">
        <f t="shared" si="0"/>
        <v>0</v>
      </c>
      <c r="R6" s="39">
        <f t="shared" si="5"/>
        <v>0</v>
      </c>
      <c r="S6" s="36">
        <f t="shared" si="6"/>
        <v>0</v>
      </c>
    </row>
    <row r="7" spans="1:19" x14ac:dyDescent="0.2">
      <c r="A7" s="189" t="s">
        <v>89</v>
      </c>
      <c r="B7" s="191" t="s">
        <v>90</v>
      </c>
      <c r="C7" s="59" t="s">
        <v>91</v>
      </c>
      <c r="D7" s="53" t="s">
        <v>16</v>
      </c>
      <c r="E7" s="53"/>
      <c r="F7" s="57"/>
      <c r="G7" s="57"/>
      <c r="H7" s="58"/>
      <c r="I7" s="49" t="str">
        <f t="shared" si="7"/>
        <v/>
      </c>
      <c r="K7" s="35">
        <v>0.1</v>
      </c>
      <c r="M7" s="37">
        <f t="shared" si="1"/>
        <v>0</v>
      </c>
      <c r="N7" s="36">
        <f t="shared" si="2"/>
        <v>0</v>
      </c>
      <c r="O7" s="38">
        <f t="shared" si="3"/>
        <v>0</v>
      </c>
      <c r="P7" s="38">
        <f t="shared" si="4"/>
        <v>0</v>
      </c>
      <c r="Q7" s="39">
        <f t="shared" si="0"/>
        <v>0</v>
      </c>
      <c r="R7" s="39">
        <f t="shared" si="5"/>
        <v>0</v>
      </c>
      <c r="S7" s="36">
        <f t="shared" si="6"/>
        <v>0</v>
      </c>
    </row>
    <row r="8" spans="1:19" x14ac:dyDescent="0.2">
      <c r="A8" s="190"/>
      <c r="B8" s="192"/>
      <c r="C8" s="60" t="s">
        <v>92</v>
      </c>
      <c r="D8" s="53" t="s">
        <v>16</v>
      </c>
      <c r="E8" s="53"/>
      <c r="F8" s="57"/>
      <c r="G8" s="57"/>
      <c r="H8" s="58"/>
      <c r="I8" s="49" t="str">
        <f t="shared" si="7"/>
        <v/>
      </c>
      <c r="K8" s="35">
        <v>0.1</v>
      </c>
      <c r="M8" s="37">
        <f t="shared" si="1"/>
        <v>0</v>
      </c>
      <c r="N8" s="36">
        <f t="shared" si="2"/>
        <v>0</v>
      </c>
      <c r="O8" s="38">
        <f t="shared" si="3"/>
        <v>0</v>
      </c>
      <c r="P8" s="38">
        <f t="shared" si="4"/>
        <v>0</v>
      </c>
      <c r="Q8" s="39">
        <f t="shared" si="0"/>
        <v>0</v>
      </c>
      <c r="R8" s="39">
        <f t="shared" si="5"/>
        <v>0</v>
      </c>
      <c r="S8" s="36">
        <f t="shared" si="6"/>
        <v>0</v>
      </c>
    </row>
    <row r="9" spans="1:19" x14ac:dyDescent="0.2">
      <c r="A9" s="189" t="s">
        <v>93</v>
      </c>
      <c r="B9" s="191" t="s">
        <v>94</v>
      </c>
      <c r="C9" s="61" t="s">
        <v>95</v>
      </c>
      <c r="D9" s="53" t="s">
        <v>16</v>
      </c>
      <c r="E9" s="53"/>
      <c r="F9" s="57"/>
      <c r="G9" s="57"/>
      <c r="H9" s="58"/>
      <c r="I9" s="49" t="str">
        <f t="shared" si="7"/>
        <v/>
      </c>
      <c r="K9" s="35">
        <v>0.1</v>
      </c>
      <c r="M9" s="37">
        <f t="shared" si="1"/>
        <v>0</v>
      </c>
      <c r="N9" s="36">
        <f t="shared" si="2"/>
        <v>0</v>
      </c>
      <c r="O9" s="38">
        <f t="shared" si="3"/>
        <v>0</v>
      </c>
      <c r="P9" s="38">
        <f t="shared" si="4"/>
        <v>0</v>
      </c>
      <c r="Q9" s="39">
        <f t="shared" si="0"/>
        <v>0</v>
      </c>
      <c r="R9" s="39">
        <f t="shared" si="5"/>
        <v>0</v>
      </c>
      <c r="S9" s="36">
        <f t="shared" si="6"/>
        <v>0</v>
      </c>
    </row>
    <row r="10" spans="1:19" x14ac:dyDescent="0.2">
      <c r="A10" s="190"/>
      <c r="B10" s="192"/>
      <c r="C10" s="61" t="s">
        <v>96</v>
      </c>
      <c r="D10" s="53" t="s">
        <v>16</v>
      </c>
      <c r="E10" s="53"/>
      <c r="F10" s="57"/>
      <c r="G10" s="57"/>
      <c r="H10" s="58"/>
      <c r="I10" s="49" t="str">
        <f t="shared" si="7"/>
        <v/>
      </c>
      <c r="K10" s="35">
        <v>0.1</v>
      </c>
      <c r="M10" s="37">
        <f t="shared" si="1"/>
        <v>0</v>
      </c>
      <c r="N10" s="36">
        <f t="shared" si="2"/>
        <v>0</v>
      </c>
      <c r="O10" s="38">
        <f t="shared" si="3"/>
        <v>0</v>
      </c>
      <c r="P10" s="38">
        <f t="shared" si="4"/>
        <v>0</v>
      </c>
      <c r="Q10" s="39">
        <f t="shared" si="0"/>
        <v>0</v>
      </c>
      <c r="R10" s="39">
        <f t="shared" si="5"/>
        <v>0</v>
      </c>
      <c r="S10" s="36">
        <f t="shared" si="6"/>
        <v>0</v>
      </c>
    </row>
    <row r="11" spans="1:19" x14ac:dyDescent="0.2">
      <c r="A11" s="189" t="s">
        <v>97</v>
      </c>
      <c r="B11" s="191" t="s">
        <v>98</v>
      </c>
      <c r="C11" s="61" t="s">
        <v>99</v>
      </c>
      <c r="D11" s="53" t="s">
        <v>16</v>
      </c>
      <c r="E11" s="53"/>
      <c r="F11" s="57"/>
      <c r="G11" s="57"/>
      <c r="H11" s="58"/>
      <c r="I11" s="49" t="str">
        <f t="shared" si="7"/>
        <v/>
      </c>
      <c r="K11" s="35">
        <v>0.1</v>
      </c>
      <c r="M11" s="37">
        <f t="shared" si="1"/>
        <v>0</v>
      </c>
      <c r="N11" s="36">
        <f t="shared" si="2"/>
        <v>0</v>
      </c>
      <c r="O11" s="38">
        <f t="shared" si="3"/>
        <v>0</v>
      </c>
      <c r="P11" s="38">
        <f t="shared" si="4"/>
        <v>0</v>
      </c>
      <c r="Q11" s="39">
        <f t="shared" si="0"/>
        <v>0</v>
      </c>
      <c r="R11" s="39">
        <f t="shared" si="5"/>
        <v>0</v>
      </c>
      <c r="S11" s="36">
        <f t="shared" si="6"/>
        <v>0</v>
      </c>
    </row>
    <row r="12" spans="1:19" x14ac:dyDescent="0.2">
      <c r="A12" s="190"/>
      <c r="B12" s="192"/>
      <c r="C12" s="61" t="s">
        <v>100</v>
      </c>
      <c r="D12" s="53" t="s">
        <v>16</v>
      </c>
      <c r="E12" s="53"/>
      <c r="F12" s="57"/>
      <c r="G12" s="57"/>
      <c r="H12" s="58"/>
      <c r="I12" s="49" t="str">
        <f t="shared" si="7"/>
        <v/>
      </c>
      <c r="K12" s="35">
        <v>0.1</v>
      </c>
      <c r="M12" s="37">
        <f t="shared" si="1"/>
        <v>0</v>
      </c>
      <c r="N12" s="36">
        <f t="shared" si="2"/>
        <v>0</v>
      </c>
      <c r="O12" s="38">
        <f t="shared" si="3"/>
        <v>0</v>
      </c>
      <c r="P12" s="38">
        <f t="shared" si="4"/>
        <v>0</v>
      </c>
      <c r="Q12" s="39">
        <f t="shared" si="0"/>
        <v>0</v>
      </c>
      <c r="R12" s="39">
        <f t="shared" si="5"/>
        <v>0</v>
      </c>
      <c r="S12" s="36">
        <f t="shared" si="6"/>
        <v>0</v>
      </c>
    </row>
    <row r="13" spans="1:19" x14ac:dyDescent="0.2">
      <c r="A13" s="189" t="s">
        <v>101</v>
      </c>
      <c r="B13" s="191" t="s">
        <v>102</v>
      </c>
      <c r="C13" s="62" t="s">
        <v>103</v>
      </c>
      <c r="D13" s="53" t="s">
        <v>16</v>
      </c>
      <c r="E13" s="53"/>
      <c r="F13" s="57"/>
      <c r="G13" s="57"/>
      <c r="H13" s="58"/>
      <c r="I13" s="49" t="str">
        <f t="shared" si="7"/>
        <v/>
      </c>
      <c r="K13" s="35">
        <v>0.1</v>
      </c>
      <c r="M13" s="37">
        <f t="shared" si="1"/>
        <v>0</v>
      </c>
      <c r="N13" s="36">
        <f t="shared" si="2"/>
        <v>0</v>
      </c>
      <c r="O13" s="38">
        <f t="shared" si="3"/>
        <v>0</v>
      </c>
      <c r="P13" s="38">
        <f t="shared" si="4"/>
        <v>0</v>
      </c>
      <c r="Q13" s="39">
        <f t="shared" si="0"/>
        <v>0</v>
      </c>
      <c r="R13" s="39">
        <f t="shared" si="5"/>
        <v>0</v>
      </c>
      <c r="S13" s="36">
        <f t="shared" si="6"/>
        <v>0</v>
      </c>
    </row>
    <row r="14" spans="1:19" ht="13.5" customHeight="1" x14ac:dyDescent="0.2">
      <c r="A14" s="190"/>
      <c r="B14" s="200"/>
      <c r="C14" s="63" t="s">
        <v>104</v>
      </c>
      <c r="D14" s="53" t="s">
        <v>16</v>
      </c>
      <c r="E14" s="53"/>
      <c r="F14" s="64"/>
      <c r="G14" s="64"/>
      <c r="H14" s="29"/>
      <c r="I14" s="49" t="str">
        <f t="shared" si="7"/>
        <v/>
      </c>
      <c r="J14" s="65"/>
      <c r="K14" s="35">
        <v>0.1</v>
      </c>
      <c r="L14" s="66">
        <f>SUM(K5:K14)</f>
        <v>0.99999999999999989</v>
      </c>
      <c r="M14" s="37">
        <f t="shared" si="1"/>
        <v>0</v>
      </c>
      <c r="N14" s="36">
        <f t="shared" si="2"/>
        <v>0</v>
      </c>
      <c r="O14" s="38">
        <f t="shared" si="3"/>
        <v>0</v>
      </c>
      <c r="P14" s="38">
        <f t="shared" si="4"/>
        <v>0</v>
      </c>
      <c r="Q14" s="39">
        <f t="shared" si="0"/>
        <v>0</v>
      </c>
      <c r="R14" s="39">
        <f t="shared" si="5"/>
        <v>0</v>
      </c>
      <c r="S14" s="36">
        <f t="shared" si="6"/>
        <v>0</v>
      </c>
    </row>
    <row r="15" spans="1:19" x14ac:dyDescent="0.2">
      <c r="A15" s="210" t="s">
        <v>105</v>
      </c>
      <c r="B15" s="207"/>
      <c r="C15" s="207"/>
      <c r="D15" s="207"/>
      <c r="E15" s="207"/>
      <c r="F15" s="207"/>
      <c r="G15" s="207"/>
      <c r="H15" s="208"/>
      <c r="I15" s="49" t="str">
        <f t="shared" si="7"/>
        <v/>
      </c>
      <c r="K15" s="50">
        <v>0.2</v>
      </c>
      <c r="M15" s="51">
        <f>IF(N15=1,SUMPRODUCT(M16:M23,N16:N23)/SUMPRODUCT(K16:K23,N16:N23),0)</f>
        <v>0</v>
      </c>
      <c r="N15" s="36">
        <f>IF(SUM(N16:N23)=0,0,1)</f>
        <v>1</v>
      </c>
      <c r="P15" s="38">
        <f>SUM(P16:P23)</f>
        <v>0.7</v>
      </c>
      <c r="Q15" s="39">
        <f t="shared" si="0"/>
        <v>0</v>
      </c>
      <c r="R15" s="39" t="b">
        <f>OR(R5=FALSE,R6=FALSE,R7=FALSE,R8=FALSE,R9=FALSE,R10=FALSE,R11=FALSE,R12=FALSE,R13=FALSE,R14=FALSE,)</f>
        <v>0</v>
      </c>
      <c r="S15" s="36">
        <f t="shared" si="6"/>
        <v>0</v>
      </c>
    </row>
    <row r="16" spans="1:19" ht="25.5" customHeight="1" x14ac:dyDescent="0.2">
      <c r="A16" s="189" t="s">
        <v>106</v>
      </c>
      <c r="B16" s="191" t="s">
        <v>107</v>
      </c>
      <c r="C16" s="67" t="s">
        <v>108</v>
      </c>
      <c r="D16" s="53"/>
      <c r="E16" s="53" t="s">
        <v>16</v>
      </c>
      <c r="F16" s="54"/>
      <c r="G16" s="54"/>
      <c r="H16" s="24"/>
      <c r="I16" s="49" t="str">
        <f t="shared" si="7"/>
        <v/>
      </c>
      <c r="K16" s="35">
        <v>0.1</v>
      </c>
      <c r="M16" s="37">
        <f t="shared" ref="M16:M23" si="8">(IF(F16&lt;&gt;"",1/3,0)+IF(G16&lt;&gt;"",2/3,0)+IF(H16&lt;&gt;"",1,0))*K16*20</f>
        <v>0</v>
      </c>
      <c r="N16" s="36">
        <f t="shared" ref="N16:N23" si="9">IF(D16="",IF(E16&lt;&gt;"",1,0)+IF(F16&lt;&gt;"",1,0)+IF(G16&lt;&gt;"",1,0)+IF(H16&lt;&gt;"",1,0),0)</f>
        <v>1</v>
      </c>
      <c r="O16" s="38">
        <f t="shared" ref="O16:O23" si="10">IF(D16&lt;&gt;"",0,(IF(E16&lt;&gt;"",0.02,(M16/(K16*20)))))</f>
        <v>0.02</v>
      </c>
      <c r="P16" s="38">
        <f t="shared" ref="P16:P23" si="11">IF(D16&lt;&gt;"",0,K16)</f>
        <v>0.1</v>
      </c>
      <c r="Q16" s="39">
        <f t="shared" si="0"/>
        <v>0</v>
      </c>
      <c r="R16" s="39" t="b">
        <f t="shared" ref="R16:R23" si="12">IF(D16="",OR(E16&lt;&gt;"",F16&lt;&gt;"",G16&lt;&gt;"",H16&lt;&gt;""),0)</f>
        <v>1</v>
      </c>
      <c r="S16" s="36">
        <f t="shared" si="6"/>
        <v>0</v>
      </c>
    </row>
    <row r="17" spans="1:19" x14ac:dyDescent="0.2">
      <c r="A17" s="190"/>
      <c r="B17" s="192"/>
      <c r="C17" s="59" t="s">
        <v>109</v>
      </c>
      <c r="D17" s="53" t="s">
        <v>16</v>
      </c>
      <c r="E17" s="53"/>
      <c r="F17" s="57"/>
      <c r="G17" s="57"/>
      <c r="H17" s="58"/>
      <c r="I17" s="49" t="str">
        <f t="shared" si="7"/>
        <v/>
      </c>
      <c r="K17" s="35">
        <v>0.1</v>
      </c>
      <c r="M17" s="37">
        <f t="shared" si="8"/>
        <v>0</v>
      </c>
      <c r="N17" s="36">
        <f t="shared" si="9"/>
        <v>0</v>
      </c>
      <c r="O17" s="38">
        <f t="shared" si="10"/>
        <v>0</v>
      </c>
      <c r="P17" s="38">
        <f t="shared" si="11"/>
        <v>0</v>
      </c>
      <c r="Q17" s="39">
        <f t="shared" si="0"/>
        <v>0</v>
      </c>
      <c r="R17" s="39">
        <f t="shared" si="12"/>
        <v>0</v>
      </c>
      <c r="S17" s="36">
        <f t="shared" si="6"/>
        <v>0</v>
      </c>
    </row>
    <row r="18" spans="1:19" x14ac:dyDescent="0.2">
      <c r="A18" s="189" t="s">
        <v>110</v>
      </c>
      <c r="B18" s="191" t="s">
        <v>111</v>
      </c>
      <c r="C18" s="30" t="s">
        <v>112</v>
      </c>
      <c r="D18" s="53" t="s">
        <v>16</v>
      </c>
      <c r="E18" s="53"/>
      <c r="F18" s="57"/>
      <c r="G18" s="57"/>
      <c r="H18" s="58"/>
      <c r="I18" s="49" t="str">
        <f t="shared" si="7"/>
        <v/>
      </c>
      <c r="K18" s="35">
        <v>0.1</v>
      </c>
      <c r="M18" s="37">
        <f t="shared" si="8"/>
        <v>0</v>
      </c>
      <c r="N18" s="36">
        <f t="shared" si="9"/>
        <v>0</v>
      </c>
      <c r="O18" s="38">
        <f t="shared" si="10"/>
        <v>0</v>
      </c>
      <c r="P18" s="38">
        <f t="shared" si="11"/>
        <v>0</v>
      </c>
      <c r="Q18" s="39">
        <f t="shared" si="0"/>
        <v>0</v>
      </c>
      <c r="R18" s="39">
        <f t="shared" si="12"/>
        <v>0</v>
      </c>
      <c r="S18" s="36">
        <f t="shared" si="6"/>
        <v>0</v>
      </c>
    </row>
    <row r="19" spans="1:19" x14ac:dyDescent="0.2">
      <c r="A19" s="190"/>
      <c r="B19" s="192"/>
      <c r="C19" s="56" t="s">
        <v>113</v>
      </c>
      <c r="D19" s="53"/>
      <c r="E19" s="53" t="s">
        <v>16</v>
      </c>
      <c r="F19" s="57"/>
      <c r="G19" s="57"/>
      <c r="H19" s="58"/>
      <c r="I19" s="49" t="str">
        <f t="shared" si="7"/>
        <v/>
      </c>
      <c r="K19" s="35">
        <v>0.1</v>
      </c>
      <c r="M19" s="37">
        <f t="shared" si="8"/>
        <v>0</v>
      </c>
      <c r="N19" s="36">
        <f t="shared" si="9"/>
        <v>1</v>
      </c>
      <c r="O19" s="38">
        <f t="shared" si="10"/>
        <v>0.02</v>
      </c>
      <c r="P19" s="38">
        <f t="shared" si="11"/>
        <v>0.1</v>
      </c>
      <c r="Q19" s="39">
        <f t="shared" si="0"/>
        <v>0</v>
      </c>
      <c r="R19" s="39" t="b">
        <f t="shared" si="12"/>
        <v>1</v>
      </c>
      <c r="S19" s="36">
        <f t="shared" si="6"/>
        <v>0</v>
      </c>
    </row>
    <row r="20" spans="1:19" x14ac:dyDescent="0.2">
      <c r="A20" s="189" t="s">
        <v>114</v>
      </c>
      <c r="B20" s="191" t="s">
        <v>115</v>
      </c>
      <c r="C20" s="56" t="s">
        <v>116</v>
      </c>
      <c r="D20" s="53" t="s">
        <v>16</v>
      </c>
      <c r="E20" s="53"/>
      <c r="F20" s="57"/>
      <c r="G20" s="57"/>
      <c r="H20" s="58"/>
      <c r="I20" s="49" t="str">
        <f t="shared" si="7"/>
        <v/>
      </c>
      <c r="K20" s="35">
        <v>0.1</v>
      </c>
      <c r="M20" s="37">
        <f t="shared" si="8"/>
        <v>0</v>
      </c>
      <c r="N20" s="36">
        <f t="shared" si="9"/>
        <v>0</v>
      </c>
      <c r="O20" s="38">
        <f t="shared" si="10"/>
        <v>0</v>
      </c>
      <c r="P20" s="38">
        <f t="shared" si="11"/>
        <v>0</v>
      </c>
      <c r="Q20" s="39">
        <f t="shared" si="0"/>
        <v>0</v>
      </c>
      <c r="R20" s="39">
        <f t="shared" si="12"/>
        <v>0</v>
      </c>
      <c r="S20" s="36">
        <f t="shared" si="6"/>
        <v>0</v>
      </c>
    </row>
    <row r="21" spans="1:19" x14ac:dyDescent="0.2">
      <c r="A21" s="190"/>
      <c r="B21" s="192"/>
      <c r="C21" s="56" t="s">
        <v>117</v>
      </c>
      <c r="D21" s="53"/>
      <c r="E21" s="53" t="s">
        <v>16</v>
      </c>
      <c r="F21" s="57"/>
      <c r="G21" s="57"/>
      <c r="H21" s="58"/>
      <c r="I21" s="49" t="str">
        <f t="shared" si="7"/>
        <v/>
      </c>
      <c r="K21" s="35">
        <v>0.1</v>
      </c>
      <c r="M21" s="37">
        <f t="shared" si="8"/>
        <v>0</v>
      </c>
      <c r="O21" s="38">
        <f t="shared" si="10"/>
        <v>0.02</v>
      </c>
      <c r="P21" s="38">
        <f t="shared" si="11"/>
        <v>0.1</v>
      </c>
      <c r="Q21" s="39">
        <f t="shared" si="0"/>
        <v>0</v>
      </c>
      <c r="R21" s="39" t="b">
        <f t="shared" si="12"/>
        <v>1</v>
      </c>
      <c r="S21" s="36">
        <f t="shared" si="6"/>
        <v>0</v>
      </c>
    </row>
    <row r="22" spans="1:19" x14ac:dyDescent="0.2">
      <c r="A22" s="198" t="s">
        <v>118</v>
      </c>
      <c r="B22" s="191" t="s">
        <v>119</v>
      </c>
      <c r="C22" s="56" t="s">
        <v>120</v>
      </c>
      <c r="D22" s="53"/>
      <c r="E22" s="53" t="s">
        <v>16</v>
      </c>
      <c r="F22" s="57"/>
      <c r="G22" s="57"/>
      <c r="H22" s="58"/>
      <c r="I22" s="49" t="str">
        <f t="shared" si="7"/>
        <v/>
      </c>
      <c r="K22" s="35">
        <v>0.1</v>
      </c>
      <c r="M22" s="37">
        <f t="shared" si="8"/>
        <v>0</v>
      </c>
      <c r="N22" s="36">
        <f t="shared" si="9"/>
        <v>1</v>
      </c>
      <c r="O22" s="38">
        <f t="shared" si="10"/>
        <v>0.02</v>
      </c>
      <c r="P22" s="38">
        <f t="shared" si="11"/>
        <v>0.1</v>
      </c>
      <c r="Q22" s="39">
        <f t="shared" si="0"/>
        <v>0</v>
      </c>
      <c r="R22" s="39" t="b">
        <f t="shared" si="12"/>
        <v>1</v>
      </c>
      <c r="S22" s="36">
        <f t="shared" si="6"/>
        <v>0</v>
      </c>
    </row>
    <row r="23" spans="1:19" ht="13.5" customHeight="1" x14ac:dyDescent="0.2">
      <c r="A23" s="190"/>
      <c r="B23" s="200"/>
      <c r="C23" s="56" t="s">
        <v>121</v>
      </c>
      <c r="D23" s="53"/>
      <c r="E23" s="53" t="s">
        <v>16</v>
      </c>
      <c r="F23" s="64"/>
      <c r="G23" s="64"/>
      <c r="H23" s="29"/>
      <c r="I23" s="49" t="str">
        <f t="shared" si="7"/>
        <v/>
      </c>
      <c r="J23" s="65"/>
      <c r="K23" s="35">
        <v>0.3</v>
      </c>
      <c r="L23" s="66">
        <f>SUM(K16:K23)</f>
        <v>1</v>
      </c>
      <c r="M23" s="37">
        <f t="shared" si="8"/>
        <v>0</v>
      </c>
      <c r="N23" s="36">
        <f t="shared" si="9"/>
        <v>1</v>
      </c>
      <c r="O23" s="38">
        <f t="shared" si="10"/>
        <v>0.02</v>
      </c>
      <c r="P23" s="38">
        <f t="shared" si="11"/>
        <v>0.3</v>
      </c>
      <c r="Q23" s="39">
        <f t="shared" si="0"/>
        <v>0</v>
      </c>
      <c r="R23" s="39" t="b">
        <f t="shared" si="12"/>
        <v>1</v>
      </c>
      <c r="S23" s="36">
        <f t="shared" si="6"/>
        <v>0</v>
      </c>
    </row>
    <row r="24" spans="1:19" x14ac:dyDescent="0.2">
      <c r="A24" s="209" t="s">
        <v>122</v>
      </c>
      <c r="B24" s="203"/>
      <c r="C24" s="203"/>
      <c r="D24" s="203"/>
      <c r="E24" s="203"/>
      <c r="F24" s="203"/>
      <c r="G24" s="203"/>
      <c r="H24" s="204"/>
      <c r="I24" s="49" t="str">
        <f t="shared" si="7"/>
        <v/>
      </c>
      <c r="K24" s="50">
        <v>0.2</v>
      </c>
      <c r="M24" s="51">
        <f>IF(N24=1,SUMPRODUCT(M25:M34,N25:N34)/SUMPRODUCT(K25:K34,N25:N34),0)</f>
        <v>0</v>
      </c>
      <c r="N24" s="36">
        <f>IF(SUM(N25:N34)=0,0,1)</f>
        <v>1</v>
      </c>
      <c r="P24" s="38">
        <f>SUM(P25:P34)</f>
        <v>0.4</v>
      </c>
      <c r="Q24" s="39">
        <f t="shared" si="0"/>
        <v>0</v>
      </c>
      <c r="R24" s="39" t="b">
        <f>OR(R16=FALSE,R17=FALSE,R18=FALSE,R19=FALSE,R20=FALSE,R21=FALSE,R22=FALSE,R23=FALSE,)</f>
        <v>0</v>
      </c>
      <c r="S24" s="36">
        <f t="shared" si="6"/>
        <v>0</v>
      </c>
    </row>
    <row r="25" spans="1:19" ht="13.7" customHeight="1" x14ac:dyDescent="0.2">
      <c r="A25" s="189" t="s">
        <v>123</v>
      </c>
      <c r="B25" s="191" t="s">
        <v>124</v>
      </c>
      <c r="C25" s="52" t="s">
        <v>125</v>
      </c>
      <c r="D25" s="53"/>
      <c r="E25" s="53" t="s">
        <v>16</v>
      </c>
      <c r="F25" s="54"/>
      <c r="G25" s="54"/>
      <c r="H25" s="24"/>
      <c r="I25" s="49" t="str">
        <f t="shared" si="7"/>
        <v/>
      </c>
      <c r="K25" s="35">
        <v>0.1</v>
      </c>
      <c r="M25" s="37">
        <f t="shared" ref="M25:M34" si="13">(IF(F25&lt;&gt;"",1/3,0)+IF(G25&lt;&gt;"",2/3,0)+IF(H25&lt;&gt;"",1,0))*K25*20</f>
        <v>0</v>
      </c>
      <c r="N25" s="36">
        <f t="shared" ref="N25:N34" si="14">IF(D25="",IF(E25&lt;&gt;"",1,0)+IF(F25&lt;&gt;"",1,0)+IF(G25&lt;&gt;"",1,0)+IF(H25&lt;&gt;"",1,0),0)</f>
        <v>1</v>
      </c>
      <c r="O25" s="38">
        <f t="shared" ref="O25:O34" si="15">IF(D25&lt;&gt;"",0,(IF(E25&lt;&gt;"",0.02,(M25/(K25*20)))))</f>
        <v>0.02</v>
      </c>
      <c r="P25" s="38">
        <f t="shared" ref="P25:P34" si="16">IF(D25&lt;&gt;"",0,K25)</f>
        <v>0.1</v>
      </c>
      <c r="Q25" s="39">
        <f t="shared" si="0"/>
        <v>0</v>
      </c>
      <c r="R25" s="39" t="b">
        <f t="shared" ref="R25:R34" si="17">IF(D25="",OR(E25&lt;&gt;"",F25&lt;&gt;"",G25&lt;&gt;"",H25&lt;&gt;""),0)</f>
        <v>1</v>
      </c>
      <c r="S25" s="36">
        <f t="shared" si="6"/>
        <v>0</v>
      </c>
    </row>
    <row r="26" spans="1:19" ht="13.7" customHeight="1" x14ac:dyDescent="0.2">
      <c r="A26" s="190"/>
      <c r="B26" s="192"/>
      <c r="C26" s="56" t="s">
        <v>126</v>
      </c>
      <c r="D26" s="53"/>
      <c r="E26" s="53" t="s">
        <v>16</v>
      </c>
      <c r="F26" s="57"/>
      <c r="G26" s="57"/>
      <c r="H26" s="58"/>
      <c r="I26" s="49" t="str">
        <f t="shared" si="7"/>
        <v/>
      </c>
      <c r="K26" s="35">
        <v>0.1</v>
      </c>
      <c r="M26" s="37">
        <f t="shared" si="13"/>
        <v>0</v>
      </c>
      <c r="N26" s="36">
        <f t="shared" si="14"/>
        <v>1</v>
      </c>
      <c r="O26" s="38">
        <f t="shared" si="15"/>
        <v>0.02</v>
      </c>
      <c r="P26" s="38">
        <f t="shared" si="16"/>
        <v>0.1</v>
      </c>
      <c r="Q26" s="39">
        <f t="shared" ref="Q26:Q38" si="18">IF(I26&lt;&gt;"",1,0)</f>
        <v>0</v>
      </c>
      <c r="R26" s="39" t="b">
        <f t="shared" si="17"/>
        <v>1</v>
      </c>
      <c r="S26" s="36">
        <f t="shared" ref="S26:S38" si="19">IF(D26&lt;&gt;"",IF(E26&lt;&gt;"",1,0)+IF(F26&lt;&gt;"",1,0)+IF(G26&lt;&gt;"",1,0)+IF(H26&lt;&gt;"",1,0),0)</f>
        <v>0</v>
      </c>
    </row>
    <row r="27" spans="1:19" ht="13.7" customHeight="1" x14ac:dyDescent="0.2">
      <c r="A27" s="189" t="s">
        <v>127</v>
      </c>
      <c r="B27" s="191" t="s">
        <v>128</v>
      </c>
      <c r="C27" s="56" t="s">
        <v>129</v>
      </c>
      <c r="D27" s="53"/>
      <c r="E27" s="53" t="s">
        <v>16</v>
      </c>
      <c r="F27" s="57"/>
      <c r="G27" s="57"/>
      <c r="H27" s="58"/>
      <c r="I27" s="49" t="str">
        <f t="shared" si="7"/>
        <v/>
      </c>
      <c r="K27" s="35">
        <v>0.1</v>
      </c>
      <c r="M27" s="37">
        <f t="shared" si="13"/>
        <v>0</v>
      </c>
      <c r="N27" s="36">
        <f t="shared" si="14"/>
        <v>1</v>
      </c>
      <c r="O27" s="38">
        <f t="shared" si="15"/>
        <v>0.02</v>
      </c>
      <c r="P27" s="38">
        <f t="shared" si="16"/>
        <v>0.1</v>
      </c>
      <c r="Q27" s="39">
        <f t="shared" si="18"/>
        <v>0</v>
      </c>
      <c r="R27" s="39" t="b">
        <f t="shared" si="17"/>
        <v>1</v>
      </c>
      <c r="S27" s="36">
        <f t="shared" si="19"/>
        <v>0</v>
      </c>
    </row>
    <row r="28" spans="1:19" ht="13.7" customHeight="1" x14ac:dyDescent="0.2">
      <c r="A28" s="190"/>
      <c r="B28" s="192"/>
      <c r="C28" s="56" t="s">
        <v>130</v>
      </c>
      <c r="D28" s="53" t="s">
        <v>16</v>
      </c>
      <c r="E28" s="53"/>
      <c r="F28" s="57"/>
      <c r="G28" s="57"/>
      <c r="H28" s="58"/>
      <c r="I28" s="49" t="str">
        <f t="shared" si="7"/>
        <v/>
      </c>
      <c r="K28" s="35">
        <v>0.1</v>
      </c>
      <c r="M28" s="37">
        <f t="shared" si="13"/>
        <v>0</v>
      </c>
      <c r="N28" s="36">
        <f t="shared" si="14"/>
        <v>0</v>
      </c>
      <c r="O28" s="38">
        <f t="shared" si="15"/>
        <v>0</v>
      </c>
      <c r="P28" s="38">
        <f t="shared" si="16"/>
        <v>0</v>
      </c>
      <c r="Q28" s="39">
        <f t="shared" si="18"/>
        <v>0</v>
      </c>
      <c r="R28" s="39">
        <f t="shared" si="17"/>
        <v>0</v>
      </c>
      <c r="S28" s="36">
        <f t="shared" si="19"/>
        <v>0</v>
      </c>
    </row>
    <row r="29" spans="1:19" ht="13.7" customHeight="1" x14ac:dyDescent="0.2">
      <c r="A29" s="189" t="s">
        <v>131</v>
      </c>
      <c r="B29" s="191" t="s">
        <v>132</v>
      </c>
      <c r="C29" s="56" t="s">
        <v>133</v>
      </c>
      <c r="D29" s="53"/>
      <c r="E29" s="53" t="s">
        <v>16</v>
      </c>
      <c r="F29" s="57"/>
      <c r="G29" s="57"/>
      <c r="H29" s="58"/>
      <c r="I29" s="49" t="str">
        <f t="shared" si="7"/>
        <v/>
      </c>
      <c r="K29" s="35">
        <v>0.1</v>
      </c>
      <c r="M29" s="37">
        <f t="shared" si="13"/>
        <v>0</v>
      </c>
      <c r="N29" s="36">
        <f t="shared" si="14"/>
        <v>1</v>
      </c>
      <c r="O29" s="38">
        <f t="shared" si="15"/>
        <v>0.02</v>
      </c>
      <c r="P29" s="38">
        <f t="shared" si="16"/>
        <v>0.1</v>
      </c>
      <c r="Q29" s="39">
        <f t="shared" si="18"/>
        <v>0</v>
      </c>
      <c r="R29" s="39" t="b">
        <f t="shared" si="17"/>
        <v>1</v>
      </c>
      <c r="S29" s="36">
        <f t="shared" si="19"/>
        <v>0</v>
      </c>
    </row>
    <row r="30" spans="1:19" ht="13.7" customHeight="1" x14ac:dyDescent="0.2">
      <c r="A30" s="198"/>
      <c r="B30" s="199"/>
      <c r="C30" s="56" t="s">
        <v>134</v>
      </c>
      <c r="D30" s="53" t="s">
        <v>16</v>
      </c>
      <c r="E30" s="53"/>
      <c r="F30" s="57"/>
      <c r="G30" s="57"/>
      <c r="H30" s="58"/>
      <c r="I30" s="49" t="str">
        <f t="shared" si="7"/>
        <v/>
      </c>
      <c r="K30" s="35">
        <v>0.1</v>
      </c>
      <c r="M30" s="37">
        <f t="shared" si="13"/>
        <v>0</v>
      </c>
      <c r="N30" s="36">
        <f t="shared" si="14"/>
        <v>0</v>
      </c>
      <c r="O30" s="38">
        <f t="shared" si="15"/>
        <v>0</v>
      </c>
      <c r="P30" s="38">
        <f t="shared" si="16"/>
        <v>0</v>
      </c>
      <c r="Q30" s="39">
        <f t="shared" si="18"/>
        <v>0</v>
      </c>
      <c r="R30" s="39">
        <f t="shared" si="17"/>
        <v>0</v>
      </c>
      <c r="S30" s="36">
        <f t="shared" si="19"/>
        <v>0</v>
      </c>
    </row>
    <row r="31" spans="1:19" ht="13.7" customHeight="1" x14ac:dyDescent="0.2">
      <c r="A31" s="198"/>
      <c r="B31" s="199"/>
      <c r="C31" s="56" t="s">
        <v>135</v>
      </c>
      <c r="D31" s="53" t="s">
        <v>16</v>
      </c>
      <c r="E31" s="53"/>
      <c r="F31" s="57"/>
      <c r="G31" s="57"/>
      <c r="H31" s="58"/>
      <c r="I31" s="49" t="str">
        <f t="shared" si="7"/>
        <v/>
      </c>
      <c r="K31" s="35">
        <v>0.1</v>
      </c>
      <c r="M31" s="37">
        <f t="shared" si="13"/>
        <v>0</v>
      </c>
      <c r="N31" s="36">
        <f t="shared" si="14"/>
        <v>0</v>
      </c>
      <c r="O31" s="38">
        <f t="shared" si="15"/>
        <v>0</v>
      </c>
      <c r="P31" s="38">
        <f t="shared" si="16"/>
        <v>0</v>
      </c>
      <c r="Q31" s="39">
        <f t="shared" si="18"/>
        <v>0</v>
      </c>
      <c r="R31" s="39">
        <f t="shared" si="17"/>
        <v>0</v>
      </c>
      <c r="S31" s="36">
        <f t="shared" si="19"/>
        <v>0</v>
      </c>
    </row>
    <row r="32" spans="1:19" ht="13.7" customHeight="1" x14ac:dyDescent="0.2">
      <c r="A32" s="190"/>
      <c r="B32" s="192"/>
      <c r="C32" s="56" t="s">
        <v>136</v>
      </c>
      <c r="D32" s="53" t="s">
        <v>16</v>
      </c>
      <c r="E32" s="53"/>
      <c r="F32" s="57"/>
      <c r="G32" s="57"/>
      <c r="H32" s="58"/>
      <c r="I32" s="49" t="str">
        <f t="shared" si="7"/>
        <v/>
      </c>
      <c r="K32" s="35">
        <v>0.1</v>
      </c>
      <c r="M32" s="37">
        <f t="shared" si="13"/>
        <v>0</v>
      </c>
      <c r="N32" s="36">
        <f t="shared" si="14"/>
        <v>0</v>
      </c>
      <c r="O32" s="38">
        <f t="shared" si="15"/>
        <v>0</v>
      </c>
      <c r="P32" s="38">
        <f t="shared" si="16"/>
        <v>0</v>
      </c>
      <c r="Q32" s="39">
        <f t="shared" si="18"/>
        <v>0</v>
      </c>
      <c r="R32" s="39">
        <f t="shared" si="17"/>
        <v>0</v>
      </c>
      <c r="S32" s="36">
        <f t="shared" si="19"/>
        <v>0</v>
      </c>
    </row>
    <row r="33" spans="1:19" ht="13.7" customHeight="1" x14ac:dyDescent="0.2">
      <c r="A33" s="198" t="s">
        <v>137</v>
      </c>
      <c r="B33" s="199" t="s">
        <v>138</v>
      </c>
      <c r="C33" s="68" t="s">
        <v>139</v>
      </c>
      <c r="D33" s="53" t="s">
        <v>16</v>
      </c>
      <c r="E33" s="53"/>
      <c r="F33" s="57"/>
      <c r="G33" s="57"/>
      <c r="H33" s="58"/>
      <c r="I33" s="49" t="str">
        <f t="shared" si="7"/>
        <v/>
      </c>
      <c r="K33" s="35">
        <v>0.1</v>
      </c>
      <c r="M33" s="37">
        <f t="shared" si="13"/>
        <v>0</v>
      </c>
      <c r="N33" s="36">
        <f t="shared" si="14"/>
        <v>0</v>
      </c>
      <c r="O33" s="38">
        <f t="shared" si="15"/>
        <v>0</v>
      </c>
      <c r="P33" s="38">
        <f t="shared" si="16"/>
        <v>0</v>
      </c>
      <c r="Q33" s="39">
        <f t="shared" si="18"/>
        <v>0</v>
      </c>
      <c r="R33" s="39">
        <f t="shared" si="17"/>
        <v>0</v>
      </c>
      <c r="S33" s="36">
        <f t="shared" si="19"/>
        <v>0</v>
      </c>
    </row>
    <row r="34" spans="1:19" ht="13.7" customHeight="1" x14ac:dyDescent="0.2">
      <c r="A34" s="193"/>
      <c r="B34" s="200"/>
      <c r="C34" s="68" t="s">
        <v>140</v>
      </c>
      <c r="D34" s="53" t="s">
        <v>16</v>
      </c>
      <c r="E34" s="53"/>
      <c r="F34" s="64"/>
      <c r="G34" s="64"/>
      <c r="H34" s="29"/>
      <c r="I34" s="49" t="str">
        <f t="shared" si="7"/>
        <v/>
      </c>
      <c r="J34" s="65"/>
      <c r="K34" s="35">
        <v>0.1</v>
      </c>
      <c r="L34" s="66">
        <f>SUM(K25:K34)</f>
        <v>0.99999999999999989</v>
      </c>
      <c r="M34" s="37">
        <f t="shared" si="13"/>
        <v>0</v>
      </c>
      <c r="N34" s="36">
        <f t="shared" si="14"/>
        <v>0</v>
      </c>
      <c r="O34" s="38">
        <f t="shared" si="15"/>
        <v>0</v>
      </c>
      <c r="P34" s="38">
        <f t="shared" si="16"/>
        <v>0</v>
      </c>
      <c r="Q34" s="39">
        <f t="shared" si="18"/>
        <v>0</v>
      </c>
      <c r="R34" s="39">
        <f t="shared" si="17"/>
        <v>0</v>
      </c>
      <c r="S34" s="36">
        <f t="shared" si="19"/>
        <v>0</v>
      </c>
    </row>
    <row r="35" spans="1:19" x14ac:dyDescent="0.2">
      <c r="A35" s="209" t="s">
        <v>141</v>
      </c>
      <c r="B35" s="203"/>
      <c r="C35" s="203"/>
      <c r="D35" s="203"/>
      <c r="E35" s="203"/>
      <c r="F35" s="203"/>
      <c r="G35" s="203"/>
      <c r="H35" s="204"/>
      <c r="I35" s="49" t="str">
        <f t="shared" si="7"/>
        <v/>
      </c>
      <c r="J35" s="65"/>
      <c r="K35" s="50">
        <v>0.2</v>
      </c>
      <c r="M35" s="51">
        <f>IF(N35=1,SUMPRODUCT(M36:M42,N36:N42)/SUMPRODUCT(K36:K42,N36:N42),0)</f>
        <v>0</v>
      </c>
      <c r="N35" s="36">
        <f>IF(SUM(N36:N42)=0,0,1)</f>
        <v>1</v>
      </c>
      <c r="P35" s="38">
        <f>SUM(P36:P42)</f>
        <v>0.1</v>
      </c>
      <c r="Q35" s="39">
        <f t="shared" si="18"/>
        <v>0</v>
      </c>
      <c r="R35" s="39" t="b">
        <f>OR(R25=FALSE,R26=FALSE,R27=FALSE,R28=FALSE,R29=FALSE,R30=FALSE,R31=FALSE,R32=FALSE,R33=FALSE,R34=FALSE,)</f>
        <v>0</v>
      </c>
      <c r="S35" s="36">
        <f t="shared" si="19"/>
        <v>0</v>
      </c>
    </row>
    <row r="36" spans="1:19" ht="27" customHeight="1" x14ac:dyDescent="0.2">
      <c r="A36" s="189" t="s">
        <v>142</v>
      </c>
      <c r="B36" s="191" t="s">
        <v>143</v>
      </c>
      <c r="C36" s="69" t="s">
        <v>144</v>
      </c>
      <c r="D36" s="53" t="s">
        <v>16</v>
      </c>
      <c r="E36" s="53"/>
      <c r="F36" s="54"/>
      <c r="G36" s="54"/>
      <c r="H36" s="70"/>
      <c r="I36" s="49" t="str">
        <f t="shared" si="7"/>
        <v/>
      </c>
      <c r="J36" s="65"/>
      <c r="K36" s="35">
        <v>0.1</v>
      </c>
      <c r="M36" s="37">
        <f t="shared" ref="M36:M42" si="20">(IF(F36&lt;&gt;"",1/3,0)+IF(G36&lt;&gt;"",2/3,0)+IF(H36&lt;&gt;"",1,0))*K36*20</f>
        <v>0</v>
      </c>
      <c r="N36" s="36">
        <f t="shared" ref="N36:N42" si="21">IF(D36="",IF(E36&lt;&gt;"",1,0)+IF(F36&lt;&gt;"",1,0)+IF(G36&lt;&gt;"",1,0)+IF(H36&lt;&gt;"",1,0),0)</f>
        <v>0</v>
      </c>
      <c r="O36" s="38">
        <f t="shared" ref="O36:O42" si="22">IF(D36&lt;&gt;"",0,(IF(E36&lt;&gt;"",0.02,(M36/(K36*20)))))</f>
        <v>0</v>
      </c>
      <c r="P36" s="38">
        <f t="shared" ref="P36:P42" si="23">IF(D36&lt;&gt;"",0,K36)</f>
        <v>0</v>
      </c>
      <c r="Q36" s="39">
        <f t="shared" si="18"/>
        <v>0</v>
      </c>
      <c r="R36" s="39">
        <f t="shared" ref="R36:R42" si="24">IF(D36="",OR(E36&lt;&gt;"",F36&lt;&gt;"",G36&lt;&gt;"",H36&lt;&gt;""),0)</f>
        <v>0</v>
      </c>
      <c r="S36" s="36">
        <f t="shared" si="19"/>
        <v>0</v>
      </c>
    </row>
    <row r="37" spans="1:19" ht="13.7" customHeight="1" x14ac:dyDescent="0.2">
      <c r="A37" s="190"/>
      <c r="B37" s="192"/>
      <c r="C37" s="71" t="s">
        <v>145</v>
      </c>
      <c r="D37" s="53" t="s">
        <v>16</v>
      </c>
      <c r="E37" s="53"/>
      <c r="F37" s="54"/>
      <c r="G37" s="54"/>
      <c r="H37" s="70"/>
      <c r="I37" s="49" t="str">
        <f t="shared" si="7"/>
        <v/>
      </c>
      <c r="J37" s="65"/>
      <c r="K37" s="35">
        <v>0.1</v>
      </c>
      <c r="M37" s="37">
        <f t="shared" si="20"/>
        <v>0</v>
      </c>
      <c r="N37" s="36">
        <f t="shared" si="21"/>
        <v>0</v>
      </c>
      <c r="O37" s="38">
        <f t="shared" si="22"/>
        <v>0</v>
      </c>
      <c r="P37" s="38">
        <f t="shared" si="23"/>
        <v>0</v>
      </c>
      <c r="Q37" s="39">
        <f t="shared" si="18"/>
        <v>0</v>
      </c>
      <c r="R37" s="39">
        <f t="shared" si="24"/>
        <v>0</v>
      </c>
      <c r="S37" s="36">
        <f t="shared" si="19"/>
        <v>0</v>
      </c>
    </row>
    <row r="38" spans="1:19" ht="13.7" customHeight="1" x14ac:dyDescent="0.2">
      <c r="A38" s="189" t="s">
        <v>146</v>
      </c>
      <c r="B38" s="191" t="s">
        <v>147</v>
      </c>
      <c r="C38" s="71" t="s">
        <v>148</v>
      </c>
      <c r="D38" s="53"/>
      <c r="E38" s="53" t="s">
        <v>16</v>
      </c>
      <c r="F38" s="54"/>
      <c r="G38" s="54"/>
      <c r="H38" s="70"/>
      <c r="I38" s="49" t="str">
        <f t="shared" si="7"/>
        <v/>
      </c>
      <c r="J38" s="65"/>
      <c r="K38" s="35">
        <v>0.1</v>
      </c>
      <c r="M38" s="37">
        <f t="shared" si="20"/>
        <v>0</v>
      </c>
      <c r="N38" s="36">
        <f t="shared" si="21"/>
        <v>1</v>
      </c>
      <c r="O38" s="38">
        <f t="shared" si="22"/>
        <v>0.02</v>
      </c>
      <c r="P38" s="38">
        <f t="shared" si="23"/>
        <v>0.1</v>
      </c>
      <c r="Q38" s="39">
        <f t="shared" si="18"/>
        <v>0</v>
      </c>
      <c r="R38" s="39" t="b">
        <f t="shared" si="24"/>
        <v>1</v>
      </c>
      <c r="S38" s="36">
        <f t="shared" si="19"/>
        <v>0</v>
      </c>
    </row>
    <row r="39" spans="1:19" ht="13.7" customHeight="1" x14ac:dyDescent="0.2">
      <c r="A39" s="198"/>
      <c r="B39" s="199"/>
      <c r="C39" s="69" t="s">
        <v>149</v>
      </c>
      <c r="D39" s="53" t="s">
        <v>16</v>
      </c>
      <c r="E39" s="53"/>
      <c r="F39" s="54"/>
      <c r="G39" s="54"/>
      <c r="H39" s="70"/>
      <c r="I39" s="49" t="str">
        <f t="shared" si="7"/>
        <v/>
      </c>
      <c r="J39" s="65"/>
      <c r="K39" s="35">
        <v>0.1</v>
      </c>
      <c r="M39" s="37">
        <f t="shared" si="20"/>
        <v>0</v>
      </c>
      <c r="N39" s="36">
        <f t="shared" si="21"/>
        <v>0</v>
      </c>
      <c r="O39" s="38">
        <f t="shared" si="22"/>
        <v>0</v>
      </c>
      <c r="P39" s="38">
        <f t="shared" si="23"/>
        <v>0</v>
      </c>
      <c r="Q39" s="39">
        <f t="shared" ref="Q39:Q57" si="25">IF(I39&lt;&gt;"",1,0)</f>
        <v>0</v>
      </c>
      <c r="R39" s="39">
        <f t="shared" si="24"/>
        <v>0</v>
      </c>
      <c r="S39" s="36">
        <f t="shared" ref="S39:S56" si="26">IF(D39&lt;&gt;"",IF(E39&lt;&gt;"",1,0)+IF(F39&lt;&gt;"",1,0)+IF(G39&lt;&gt;"",1,0)+IF(H39&lt;&gt;"",1,0),0)</f>
        <v>0</v>
      </c>
    </row>
    <row r="40" spans="1:19" ht="13.7" customHeight="1" x14ac:dyDescent="0.2">
      <c r="A40" s="198"/>
      <c r="B40" s="199"/>
      <c r="C40" s="71" t="s">
        <v>150</v>
      </c>
      <c r="D40" s="53" t="s">
        <v>16</v>
      </c>
      <c r="E40" s="53"/>
      <c r="F40" s="54"/>
      <c r="G40" s="54"/>
      <c r="H40" s="70"/>
      <c r="I40" s="49" t="str">
        <f t="shared" si="7"/>
        <v/>
      </c>
      <c r="J40" s="65"/>
      <c r="K40" s="35">
        <v>0.2</v>
      </c>
      <c r="M40" s="37">
        <f t="shared" si="20"/>
        <v>0</v>
      </c>
      <c r="N40" s="36">
        <f t="shared" si="21"/>
        <v>0</v>
      </c>
      <c r="O40" s="38">
        <f t="shared" si="22"/>
        <v>0</v>
      </c>
      <c r="P40" s="38">
        <f t="shared" si="23"/>
        <v>0</v>
      </c>
      <c r="Q40" s="39">
        <f t="shared" si="25"/>
        <v>0</v>
      </c>
      <c r="R40" s="39">
        <f t="shared" si="24"/>
        <v>0</v>
      </c>
      <c r="S40" s="36">
        <f t="shared" si="26"/>
        <v>0</v>
      </c>
    </row>
    <row r="41" spans="1:19" ht="13.7" customHeight="1" x14ac:dyDescent="0.2">
      <c r="A41" s="189" t="s">
        <v>151</v>
      </c>
      <c r="B41" s="191" t="s">
        <v>152</v>
      </c>
      <c r="C41" s="71" t="s">
        <v>153</v>
      </c>
      <c r="D41" s="53" t="s">
        <v>16</v>
      </c>
      <c r="E41" s="53"/>
      <c r="F41" s="54"/>
      <c r="G41" s="54"/>
      <c r="H41" s="70"/>
      <c r="I41" s="49" t="str">
        <f t="shared" si="7"/>
        <v/>
      </c>
      <c r="J41" s="65"/>
      <c r="K41" s="35">
        <v>0.2</v>
      </c>
      <c r="M41" s="37">
        <f t="shared" si="20"/>
        <v>0</v>
      </c>
      <c r="N41" s="36">
        <f t="shared" si="21"/>
        <v>0</v>
      </c>
      <c r="O41" s="38">
        <f t="shared" si="22"/>
        <v>0</v>
      </c>
      <c r="P41" s="38">
        <f t="shared" si="23"/>
        <v>0</v>
      </c>
      <c r="Q41" s="39">
        <f t="shared" si="25"/>
        <v>0</v>
      </c>
      <c r="R41" s="39">
        <f t="shared" si="24"/>
        <v>0</v>
      </c>
      <c r="S41" s="36">
        <f t="shared" si="26"/>
        <v>0</v>
      </c>
    </row>
    <row r="42" spans="1:19" ht="13.7" customHeight="1" x14ac:dyDescent="0.2">
      <c r="A42" s="193"/>
      <c r="B42" s="200"/>
      <c r="C42" s="72" t="s">
        <v>154</v>
      </c>
      <c r="D42" s="53" t="s">
        <v>16</v>
      </c>
      <c r="E42" s="53"/>
      <c r="F42" s="64"/>
      <c r="G42" s="64"/>
      <c r="H42" s="29"/>
      <c r="I42" s="49" t="str">
        <f t="shared" si="7"/>
        <v/>
      </c>
      <c r="J42" s="65"/>
      <c r="K42" s="35">
        <v>0.2</v>
      </c>
      <c r="L42" s="66">
        <f>SUM(K36:K42)</f>
        <v>1</v>
      </c>
      <c r="M42" s="37">
        <f t="shared" si="20"/>
        <v>0</v>
      </c>
      <c r="N42" s="36">
        <f t="shared" si="21"/>
        <v>0</v>
      </c>
      <c r="O42" s="38">
        <f t="shared" si="22"/>
        <v>0</v>
      </c>
      <c r="P42" s="38">
        <f t="shared" si="23"/>
        <v>0</v>
      </c>
      <c r="Q42" s="39">
        <f t="shared" si="25"/>
        <v>0</v>
      </c>
      <c r="R42" s="39">
        <f t="shared" si="24"/>
        <v>0</v>
      </c>
      <c r="S42" s="36">
        <f t="shared" si="26"/>
        <v>0</v>
      </c>
    </row>
    <row r="43" spans="1:19" x14ac:dyDescent="0.2">
      <c r="A43" s="205" t="s">
        <v>155</v>
      </c>
      <c r="B43" s="206"/>
      <c r="C43" s="207"/>
      <c r="D43" s="207"/>
      <c r="E43" s="207"/>
      <c r="F43" s="207"/>
      <c r="G43" s="207"/>
      <c r="H43" s="208"/>
      <c r="I43" s="49" t="str">
        <f t="shared" si="7"/>
        <v/>
      </c>
      <c r="J43" s="65"/>
      <c r="K43" s="50">
        <v>0.2</v>
      </c>
      <c r="M43" s="51">
        <f>IF(N43=1,SUMPRODUCT(M44:M58,N44:N58)/SUMPRODUCT(K44:K58,N44:N58),0)</f>
        <v>0</v>
      </c>
      <c r="N43" s="36">
        <f>IF(SUM(N44:N58)=0,0,1)</f>
        <v>1</v>
      </c>
      <c r="P43" s="38">
        <f>SUM(P44:P58)</f>
        <v>0.30000000000000004</v>
      </c>
      <c r="Q43" s="39">
        <f t="shared" si="25"/>
        <v>0</v>
      </c>
      <c r="R43" s="39" t="b">
        <f>OR(R36=FALSE,R37=FALSE,R38=FALSE,R39=FALSE,R40=FALSE,R41=FALSE,R42=FALSE,)</f>
        <v>0</v>
      </c>
      <c r="S43" s="36">
        <f t="shared" si="26"/>
        <v>0</v>
      </c>
    </row>
    <row r="44" spans="1:19" ht="13.7" customHeight="1" x14ac:dyDescent="0.2">
      <c r="A44" s="189" t="s">
        <v>156</v>
      </c>
      <c r="B44" s="191" t="s">
        <v>157</v>
      </c>
      <c r="C44" s="71" t="s">
        <v>158</v>
      </c>
      <c r="D44" s="53"/>
      <c r="E44" s="53" t="s">
        <v>16</v>
      </c>
      <c r="F44" s="54"/>
      <c r="G44" s="54"/>
      <c r="H44" s="24"/>
      <c r="I44" s="49" t="str">
        <f t="shared" si="7"/>
        <v/>
      </c>
      <c r="J44" s="65"/>
      <c r="K44" s="35">
        <v>0.05</v>
      </c>
      <c r="M44" s="37">
        <f>(IF(F44&lt;&gt;"",1/3,0)+IF(G44&lt;&gt;"",2/3,0)+IF(H44&lt;&gt;"",1,0))*K44*20</f>
        <v>0</v>
      </c>
      <c r="N44" s="36">
        <f>IF(D44="",IF(E44&lt;&gt;"",1,0)+IF(F44&lt;&gt;"",1,0)+IF(G44&lt;&gt;"",1,0)+IF(H44&lt;&gt;"",1,0),0)</f>
        <v>1</v>
      </c>
      <c r="O44" s="38">
        <f>IF(D44&lt;&gt;"",0,(IF(E44&lt;&gt;"",0.02,(M44/(K44*20)))))</f>
        <v>0.02</v>
      </c>
      <c r="P44" s="38">
        <f>IF(D44&lt;&gt;"",0,K44)</f>
        <v>0.05</v>
      </c>
      <c r="Q44" s="39">
        <f t="shared" si="25"/>
        <v>0</v>
      </c>
      <c r="R44" s="39" t="b">
        <f>IF(D44="",OR(E44&lt;&gt;"",F44&lt;&gt;"",G44&lt;&gt;"",H44&lt;&gt;""),0)</f>
        <v>1</v>
      </c>
      <c r="S44" s="36">
        <f t="shared" si="26"/>
        <v>0</v>
      </c>
    </row>
    <row r="45" spans="1:19" ht="13.7" customHeight="1" x14ac:dyDescent="0.2">
      <c r="A45" s="190"/>
      <c r="B45" s="192"/>
      <c r="C45" s="71" t="s">
        <v>159</v>
      </c>
      <c r="D45" s="53"/>
      <c r="E45" s="53" t="s">
        <v>16</v>
      </c>
      <c r="F45" s="54"/>
      <c r="G45" s="54"/>
      <c r="H45" s="24"/>
      <c r="I45" s="49" t="str">
        <f t="shared" si="7"/>
        <v/>
      </c>
      <c r="J45" s="65"/>
      <c r="K45" s="35">
        <v>0.05</v>
      </c>
      <c r="M45" s="37">
        <f t="shared" ref="M45:M56" si="27">(IF(F45&lt;&gt;"",1/3,0)+IF(G45&lt;&gt;"",2/3,0)+IF(H45&lt;&gt;"",1,0))*K45*20</f>
        <v>0</v>
      </c>
      <c r="N45" s="36">
        <f t="shared" ref="N45:N56" si="28">IF(D45="",IF(E45&lt;&gt;"",1,0)+IF(F45&lt;&gt;"",1,0)+IF(G45&lt;&gt;"",1,0)+IF(H45&lt;&gt;"",1,0),0)</f>
        <v>1</v>
      </c>
      <c r="O45" s="38">
        <f t="shared" ref="O45:O56" si="29">IF(D45&lt;&gt;"",0,(IF(E45&lt;&gt;"",0.02,(M45/(K45*20)))))</f>
        <v>0.02</v>
      </c>
      <c r="P45" s="38">
        <f t="shared" ref="P45:P56" si="30">IF(D45&lt;&gt;"",0,K45)</f>
        <v>0.05</v>
      </c>
      <c r="Q45" s="39">
        <f t="shared" si="25"/>
        <v>0</v>
      </c>
      <c r="R45" s="39" t="b">
        <f t="shared" ref="R45:R56" si="31">IF(D45="",OR(E45&lt;&gt;"",F45&lt;&gt;"",G45&lt;&gt;"",H45&lt;&gt;""),0)</f>
        <v>1</v>
      </c>
      <c r="S45" s="36">
        <f t="shared" si="26"/>
        <v>0</v>
      </c>
    </row>
    <row r="46" spans="1:19" ht="13.7" customHeight="1" x14ac:dyDescent="0.2">
      <c r="A46" s="55" t="s">
        <v>160</v>
      </c>
      <c r="B46" s="73" t="s">
        <v>161</v>
      </c>
      <c r="C46" s="71" t="s">
        <v>162</v>
      </c>
      <c r="D46" s="53" t="s">
        <v>16</v>
      </c>
      <c r="E46" s="53"/>
      <c r="F46" s="54"/>
      <c r="G46" s="54"/>
      <c r="H46" s="24"/>
      <c r="I46" s="49" t="str">
        <f t="shared" si="7"/>
        <v/>
      </c>
      <c r="J46" s="65"/>
      <c r="K46" s="35">
        <v>0.05</v>
      </c>
      <c r="M46" s="37">
        <f t="shared" si="27"/>
        <v>0</v>
      </c>
      <c r="N46" s="36">
        <f t="shared" si="28"/>
        <v>0</v>
      </c>
      <c r="O46" s="38">
        <f t="shared" si="29"/>
        <v>0</v>
      </c>
      <c r="P46" s="38">
        <f t="shared" si="30"/>
        <v>0</v>
      </c>
      <c r="Q46" s="39">
        <f t="shared" si="25"/>
        <v>0</v>
      </c>
      <c r="R46" s="39">
        <f t="shared" si="31"/>
        <v>0</v>
      </c>
      <c r="S46" s="36">
        <f t="shared" si="26"/>
        <v>0</v>
      </c>
    </row>
    <row r="47" spans="1:19" ht="13.7" customHeight="1" x14ac:dyDescent="0.2">
      <c r="A47" s="189" t="s">
        <v>163</v>
      </c>
      <c r="B47" s="191" t="s">
        <v>164</v>
      </c>
      <c r="C47" s="71" t="s">
        <v>165</v>
      </c>
      <c r="D47" s="53" t="s">
        <v>16</v>
      </c>
      <c r="E47" s="53"/>
      <c r="F47" s="54"/>
      <c r="G47" s="54"/>
      <c r="H47" s="24"/>
      <c r="I47" s="49" t="str">
        <f t="shared" si="7"/>
        <v/>
      </c>
      <c r="J47" s="65"/>
      <c r="K47" s="35">
        <v>0.05</v>
      </c>
      <c r="M47" s="37">
        <f t="shared" si="27"/>
        <v>0</v>
      </c>
      <c r="N47" s="36">
        <f t="shared" si="28"/>
        <v>0</v>
      </c>
      <c r="O47" s="38">
        <f t="shared" si="29"/>
        <v>0</v>
      </c>
      <c r="P47" s="38">
        <f t="shared" si="30"/>
        <v>0</v>
      </c>
      <c r="Q47" s="39">
        <f t="shared" si="25"/>
        <v>0</v>
      </c>
      <c r="R47" s="39">
        <f t="shared" si="31"/>
        <v>0</v>
      </c>
      <c r="S47" s="36">
        <f t="shared" si="26"/>
        <v>0</v>
      </c>
    </row>
    <row r="48" spans="1:19" ht="13.7" customHeight="1" x14ac:dyDescent="0.2">
      <c r="A48" s="190"/>
      <c r="B48" s="192"/>
      <c r="C48" s="71" t="s">
        <v>166</v>
      </c>
      <c r="D48" s="53" t="s">
        <v>16</v>
      </c>
      <c r="E48" s="53"/>
      <c r="F48" s="54"/>
      <c r="G48" s="54"/>
      <c r="H48" s="24"/>
      <c r="I48" s="49" t="str">
        <f t="shared" si="7"/>
        <v/>
      </c>
      <c r="J48" s="65"/>
      <c r="K48" s="35">
        <v>0.05</v>
      </c>
      <c r="M48" s="37">
        <f t="shared" si="27"/>
        <v>0</v>
      </c>
      <c r="N48" s="36">
        <f t="shared" si="28"/>
        <v>0</v>
      </c>
      <c r="O48" s="38">
        <f t="shared" si="29"/>
        <v>0</v>
      </c>
      <c r="P48" s="38">
        <f t="shared" si="30"/>
        <v>0</v>
      </c>
      <c r="Q48" s="39">
        <f t="shared" si="25"/>
        <v>0</v>
      </c>
      <c r="R48" s="39">
        <f t="shared" si="31"/>
        <v>0</v>
      </c>
      <c r="S48" s="36">
        <f t="shared" si="26"/>
        <v>0</v>
      </c>
    </row>
    <row r="49" spans="1:19" ht="13.7" customHeight="1" x14ac:dyDescent="0.2">
      <c r="A49" s="189" t="s">
        <v>167</v>
      </c>
      <c r="B49" s="191" t="s">
        <v>168</v>
      </c>
      <c r="C49" s="71" t="s">
        <v>169</v>
      </c>
      <c r="D49" s="53" t="s">
        <v>16</v>
      </c>
      <c r="E49" s="53"/>
      <c r="F49" s="54"/>
      <c r="G49" s="54"/>
      <c r="H49" s="24"/>
      <c r="I49" s="49" t="str">
        <f t="shared" si="7"/>
        <v/>
      </c>
      <c r="J49" s="65"/>
      <c r="K49" s="35">
        <v>0.05</v>
      </c>
      <c r="M49" s="37">
        <f t="shared" si="27"/>
        <v>0</v>
      </c>
      <c r="N49" s="36">
        <f t="shared" si="28"/>
        <v>0</v>
      </c>
      <c r="O49" s="38">
        <f t="shared" si="29"/>
        <v>0</v>
      </c>
      <c r="P49" s="38">
        <f t="shared" si="30"/>
        <v>0</v>
      </c>
      <c r="Q49" s="39">
        <f t="shared" si="25"/>
        <v>0</v>
      </c>
      <c r="R49" s="39">
        <f t="shared" si="31"/>
        <v>0</v>
      </c>
      <c r="S49" s="36">
        <f t="shared" si="26"/>
        <v>0</v>
      </c>
    </row>
    <row r="50" spans="1:19" ht="13.7" customHeight="1" x14ac:dyDescent="0.2">
      <c r="A50" s="198"/>
      <c r="B50" s="199"/>
      <c r="C50" s="71" t="s">
        <v>170</v>
      </c>
      <c r="D50" s="53" t="s">
        <v>16</v>
      </c>
      <c r="E50" s="53"/>
      <c r="F50" s="54"/>
      <c r="G50" s="54"/>
      <c r="H50" s="24"/>
      <c r="I50" s="49" t="str">
        <f t="shared" si="7"/>
        <v/>
      </c>
      <c r="J50" s="65"/>
      <c r="K50" s="35">
        <v>0.05</v>
      </c>
      <c r="M50" s="37">
        <f t="shared" si="27"/>
        <v>0</v>
      </c>
      <c r="N50" s="36">
        <f t="shared" si="28"/>
        <v>0</v>
      </c>
      <c r="O50" s="38">
        <f t="shared" si="29"/>
        <v>0</v>
      </c>
      <c r="P50" s="38">
        <f t="shared" si="30"/>
        <v>0</v>
      </c>
      <c r="Q50" s="39">
        <f t="shared" si="25"/>
        <v>0</v>
      </c>
      <c r="R50" s="39">
        <f t="shared" si="31"/>
        <v>0</v>
      </c>
      <c r="S50" s="36">
        <f t="shared" si="26"/>
        <v>0</v>
      </c>
    </row>
    <row r="51" spans="1:19" ht="13.7" customHeight="1" x14ac:dyDescent="0.2">
      <c r="A51" s="198"/>
      <c r="B51" s="199"/>
      <c r="C51" s="71" t="s">
        <v>171</v>
      </c>
      <c r="D51" s="53" t="s">
        <v>16</v>
      </c>
      <c r="E51" s="53"/>
      <c r="F51" s="54"/>
      <c r="G51" s="54"/>
      <c r="H51" s="24"/>
      <c r="I51" s="49" t="str">
        <f t="shared" si="7"/>
        <v/>
      </c>
      <c r="J51" s="65"/>
      <c r="K51" s="35">
        <v>0.05</v>
      </c>
      <c r="M51" s="37">
        <f t="shared" si="27"/>
        <v>0</v>
      </c>
      <c r="N51" s="36">
        <f t="shared" si="28"/>
        <v>0</v>
      </c>
      <c r="O51" s="38">
        <f t="shared" si="29"/>
        <v>0</v>
      </c>
      <c r="P51" s="38">
        <f t="shared" si="30"/>
        <v>0</v>
      </c>
      <c r="Q51" s="39">
        <f t="shared" si="25"/>
        <v>0</v>
      </c>
      <c r="R51" s="39">
        <f t="shared" si="31"/>
        <v>0</v>
      </c>
      <c r="S51" s="36">
        <f t="shared" si="26"/>
        <v>0</v>
      </c>
    </row>
    <row r="52" spans="1:19" ht="13.7" customHeight="1" x14ac:dyDescent="0.2">
      <c r="A52" s="198"/>
      <c r="B52" s="199"/>
      <c r="C52" s="71" t="s">
        <v>172</v>
      </c>
      <c r="D52" s="53" t="s">
        <v>16</v>
      </c>
      <c r="E52" s="53"/>
      <c r="F52" s="54"/>
      <c r="G52" s="54"/>
      <c r="H52" s="24"/>
      <c r="I52" s="49" t="str">
        <f t="shared" si="7"/>
        <v/>
      </c>
      <c r="J52" s="65"/>
      <c r="K52" s="35">
        <v>0.05</v>
      </c>
      <c r="M52" s="37">
        <f t="shared" si="27"/>
        <v>0</v>
      </c>
      <c r="N52" s="36">
        <f t="shared" si="28"/>
        <v>0</v>
      </c>
      <c r="O52" s="38">
        <f t="shared" si="29"/>
        <v>0</v>
      </c>
      <c r="P52" s="38">
        <f t="shared" si="30"/>
        <v>0</v>
      </c>
      <c r="Q52" s="39">
        <f t="shared" si="25"/>
        <v>0</v>
      </c>
      <c r="R52" s="39">
        <f t="shared" si="31"/>
        <v>0</v>
      </c>
      <c r="S52" s="36">
        <f t="shared" si="26"/>
        <v>0</v>
      </c>
    </row>
    <row r="53" spans="1:19" ht="13.7" customHeight="1" x14ac:dyDescent="0.2">
      <c r="A53" s="190"/>
      <c r="B53" s="192"/>
      <c r="C53" s="71" t="s">
        <v>173</v>
      </c>
      <c r="D53" s="53" t="s">
        <v>16</v>
      </c>
      <c r="E53" s="53"/>
      <c r="F53" s="54"/>
      <c r="G53" s="54"/>
      <c r="H53" s="24"/>
      <c r="I53" s="49" t="str">
        <f t="shared" si="7"/>
        <v/>
      </c>
      <c r="J53" s="65"/>
      <c r="K53" s="35">
        <v>0.05</v>
      </c>
      <c r="M53" s="37">
        <f t="shared" si="27"/>
        <v>0</v>
      </c>
      <c r="N53" s="36">
        <f t="shared" si="28"/>
        <v>0</v>
      </c>
      <c r="O53" s="38">
        <f t="shared" si="29"/>
        <v>0</v>
      </c>
      <c r="P53" s="38">
        <f t="shared" si="30"/>
        <v>0</v>
      </c>
      <c r="Q53" s="39">
        <f t="shared" si="25"/>
        <v>0</v>
      </c>
      <c r="R53" s="39">
        <f t="shared" si="31"/>
        <v>0</v>
      </c>
      <c r="S53" s="36">
        <f t="shared" si="26"/>
        <v>0</v>
      </c>
    </row>
    <row r="54" spans="1:19" ht="15" customHeight="1" x14ac:dyDescent="0.2">
      <c r="A54" s="189" t="s">
        <v>174</v>
      </c>
      <c r="B54" s="191" t="s">
        <v>175</v>
      </c>
      <c r="C54" s="71" t="s">
        <v>176</v>
      </c>
      <c r="D54" s="53"/>
      <c r="E54" s="53" t="s">
        <v>16</v>
      </c>
      <c r="F54" s="54"/>
      <c r="G54" s="54"/>
      <c r="H54" s="24"/>
      <c r="I54" s="49" t="str">
        <f t="shared" si="7"/>
        <v/>
      </c>
      <c r="J54" s="65"/>
      <c r="K54" s="35">
        <v>0.1</v>
      </c>
      <c r="M54" s="37">
        <f t="shared" si="27"/>
        <v>0</v>
      </c>
      <c r="N54" s="36">
        <f t="shared" si="28"/>
        <v>1</v>
      </c>
      <c r="O54" s="38">
        <f t="shared" si="29"/>
        <v>0.02</v>
      </c>
      <c r="P54" s="38">
        <f t="shared" si="30"/>
        <v>0.1</v>
      </c>
      <c r="Q54" s="39">
        <f t="shared" si="25"/>
        <v>0</v>
      </c>
      <c r="R54" s="39" t="b">
        <f t="shared" si="31"/>
        <v>1</v>
      </c>
      <c r="S54" s="36">
        <f t="shared" si="26"/>
        <v>0</v>
      </c>
    </row>
    <row r="55" spans="1:19" ht="13.7" customHeight="1" x14ac:dyDescent="0.2">
      <c r="A55" s="198"/>
      <c r="B55" s="199"/>
      <c r="C55" s="71" t="s">
        <v>177</v>
      </c>
      <c r="D55" s="53"/>
      <c r="E55" s="53" t="s">
        <v>16</v>
      </c>
      <c r="F55" s="54"/>
      <c r="G55" s="54"/>
      <c r="H55" s="24"/>
      <c r="I55" s="49" t="str">
        <f t="shared" si="7"/>
        <v/>
      </c>
      <c r="J55" s="65"/>
      <c r="K55" s="35">
        <v>0.1</v>
      </c>
      <c r="M55" s="37">
        <f t="shared" si="27"/>
        <v>0</v>
      </c>
      <c r="N55" s="36">
        <f t="shared" si="28"/>
        <v>1</v>
      </c>
      <c r="O55" s="38">
        <f t="shared" si="29"/>
        <v>0.02</v>
      </c>
      <c r="P55" s="38">
        <f t="shared" si="30"/>
        <v>0.1</v>
      </c>
      <c r="Q55" s="39">
        <f t="shared" si="25"/>
        <v>0</v>
      </c>
      <c r="R55" s="39" t="b">
        <f t="shared" si="31"/>
        <v>1</v>
      </c>
      <c r="S55" s="36">
        <f t="shared" si="26"/>
        <v>0</v>
      </c>
    </row>
    <row r="56" spans="1:19" ht="13.7" customHeight="1" x14ac:dyDescent="0.2">
      <c r="A56" s="190"/>
      <c r="B56" s="192"/>
      <c r="C56" s="71" t="s">
        <v>178</v>
      </c>
      <c r="D56" s="53" t="s">
        <v>16</v>
      </c>
      <c r="E56" s="53"/>
      <c r="F56" s="54"/>
      <c r="G56" s="54"/>
      <c r="H56" s="24"/>
      <c r="I56" s="49" t="str">
        <f t="shared" si="7"/>
        <v/>
      </c>
      <c r="J56" s="65"/>
      <c r="K56" s="35">
        <v>0.1</v>
      </c>
      <c r="M56" s="37">
        <f t="shared" si="27"/>
        <v>0</v>
      </c>
      <c r="N56" s="36">
        <f t="shared" si="28"/>
        <v>0</v>
      </c>
      <c r="O56" s="38">
        <f t="shared" si="29"/>
        <v>0</v>
      </c>
      <c r="P56" s="38">
        <f t="shared" si="30"/>
        <v>0</v>
      </c>
      <c r="Q56" s="39">
        <f t="shared" si="25"/>
        <v>0</v>
      </c>
      <c r="R56" s="39">
        <f t="shared" si="31"/>
        <v>0</v>
      </c>
      <c r="S56" s="36">
        <f t="shared" si="26"/>
        <v>0</v>
      </c>
    </row>
    <row r="57" spans="1:19" ht="13.7" customHeight="1" x14ac:dyDescent="0.2">
      <c r="A57" s="189" t="s">
        <v>179</v>
      </c>
      <c r="B57" s="191" t="s">
        <v>180</v>
      </c>
      <c r="C57" s="71" t="s">
        <v>181</v>
      </c>
      <c r="D57" s="53" t="s">
        <v>16</v>
      </c>
      <c r="E57" s="53"/>
      <c r="F57" s="54"/>
      <c r="G57" s="54"/>
      <c r="H57" s="24"/>
      <c r="I57" s="49" t="str">
        <f t="shared" si="7"/>
        <v/>
      </c>
      <c r="J57" s="65"/>
      <c r="K57" s="35">
        <v>0.1</v>
      </c>
      <c r="M57" s="37">
        <f>(IF(F57&lt;&gt;"",1/3,0)+IF(G57&lt;&gt;"",2/3,0)+IF(H57&lt;&gt;"",1,0))*K57*20</f>
        <v>0</v>
      </c>
      <c r="N57" s="36">
        <f>IF(D57="",IF(E57&lt;&gt;"",1,0)+IF(F57&lt;&gt;"",1,0)+IF(G57&lt;&gt;"",1,0)+IF(H57&lt;&gt;"",1,0),0)</f>
        <v>0</v>
      </c>
      <c r="O57" s="38">
        <f>IF(D57&lt;&gt;"",0,(IF(E57&lt;&gt;"",0.02,(M57/(K57*20)))))</f>
        <v>0</v>
      </c>
      <c r="P57" s="38">
        <f>IF(D57&lt;&gt;"",0,K57)</f>
        <v>0</v>
      </c>
      <c r="Q57" s="39">
        <f t="shared" si="25"/>
        <v>0</v>
      </c>
      <c r="R57" s="39">
        <f>IF(D57="",OR(E57&lt;&gt;"",F57&lt;&gt;"",G57&lt;&gt;"",H57&lt;&gt;""),0)</f>
        <v>0</v>
      </c>
      <c r="S57" s="36">
        <f>IF(D57&lt;&gt;"",IF(E57&lt;&gt;"",1,0)+IF(F57&lt;&gt;"",1,0)+IF(G57&lt;&gt;"",1,0)+IF(H57&lt;&gt;"",1,0),0)</f>
        <v>0</v>
      </c>
    </row>
    <row r="58" spans="1:19" ht="13.5" customHeight="1" x14ac:dyDescent="0.2">
      <c r="A58" s="193"/>
      <c r="B58" s="200"/>
      <c r="C58" s="74" t="s">
        <v>182</v>
      </c>
      <c r="D58" s="53" t="s">
        <v>16</v>
      </c>
      <c r="E58" s="53"/>
      <c r="F58" s="57"/>
      <c r="G58" s="57"/>
      <c r="H58" s="58"/>
      <c r="I58" s="49" t="str">
        <f t="shared" si="7"/>
        <v/>
      </c>
      <c r="J58" s="65"/>
      <c r="K58" s="35">
        <v>0.1</v>
      </c>
      <c r="L58" s="66">
        <f>SUM(K44:K58)</f>
        <v>0.99999999999999989</v>
      </c>
      <c r="M58" s="37">
        <f>(IF(F58&lt;&gt;"",1/3,0)+IF(G58&lt;&gt;"",2/3,0)+IF(H58&lt;&gt;"",1,0))*K58*20</f>
        <v>0</v>
      </c>
      <c r="N58" s="36">
        <f>IF(D58="",IF(E58&lt;&gt;"",1,0)+IF(F58&lt;&gt;"",1,0)+IF(G58&lt;&gt;"",1,0)+IF(H58&lt;&gt;"",1,0),0)</f>
        <v>0</v>
      </c>
      <c r="O58" s="38">
        <f>IF(D58&lt;&gt;"",0,(IF(E58&lt;&gt;"",0.02,(M58/(K58*20)))))</f>
        <v>0</v>
      </c>
      <c r="P58" s="38">
        <f>IF(D58&lt;&gt;"",0,K58)</f>
        <v>0</v>
      </c>
      <c r="Q58" s="39">
        <f>IF(I58&lt;&gt;"",1,0)</f>
        <v>0</v>
      </c>
      <c r="R58" s="39">
        <f>IF(D58="",OR(E58&lt;&gt;"",F58&lt;&gt;"",G58&lt;&gt;"",H58&lt;&gt;""),0)</f>
        <v>0</v>
      </c>
      <c r="S58" s="36">
        <f>IF(D58&lt;&gt;"",IF(E58&lt;&gt;"",1,0)+IF(F58&lt;&gt;"",1,0)+IF(G58&lt;&gt;"",1,0)+IF(H58&lt;&gt;"",1,0),0)</f>
        <v>0</v>
      </c>
    </row>
    <row r="59" spans="1:19" x14ac:dyDescent="0.2">
      <c r="A59" s="201" t="s">
        <v>183</v>
      </c>
      <c r="B59" s="202"/>
      <c r="C59" s="203"/>
      <c r="D59" s="203"/>
      <c r="E59" s="203"/>
      <c r="F59" s="203"/>
      <c r="G59" s="203"/>
      <c r="H59" s="204"/>
      <c r="I59" s="49" t="str">
        <f t="shared" si="7"/>
        <v/>
      </c>
      <c r="J59" s="65"/>
      <c r="K59" s="50">
        <v>0.1</v>
      </c>
      <c r="M59" s="51">
        <f>IF(N59=1,SUMPRODUCT(M60:M74,N60:N74)/SUMPRODUCT(K60:K74,N60:N74),0)</f>
        <v>0</v>
      </c>
      <c r="N59" s="36">
        <f>IF(SUM(N60:N74)=0,0,1)</f>
        <v>1</v>
      </c>
      <c r="P59" s="38">
        <f>SUM(P60:P74)</f>
        <v>0.30000000000000004</v>
      </c>
      <c r="Q59" s="39">
        <f>IF(I59&lt;&gt;"",1,0)</f>
        <v>0</v>
      </c>
      <c r="R59" s="39" t="b">
        <f>OR(R44=FALSE,R45=FALSE,R46=FALSE,R47=FALSE,R48=FALSE,R49=FALSE,R50=FALSE,R51=FALSE,R52=FALSE,R53=FALSE,R54=FALSE,R55=FALSE,R56=FALSE,R57=FALSE,R58=FALSE,)</f>
        <v>0</v>
      </c>
      <c r="S59" s="36">
        <f>IF(D59&lt;&gt;"",IF(E59&lt;&gt;"",1,0)+IF(F59&lt;&gt;"",1,0)+IF(G59&lt;&gt;"",1,0)+IF(H59&lt;&gt;"",1,0),0)</f>
        <v>0</v>
      </c>
    </row>
    <row r="60" spans="1:19" ht="13.7" customHeight="1" x14ac:dyDescent="0.2">
      <c r="A60" s="189" t="s">
        <v>184</v>
      </c>
      <c r="B60" s="191" t="s">
        <v>185</v>
      </c>
      <c r="C60" s="52" t="s">
        <v>186</v>
      </c>
      <c r="D60" s="53" t="s">
        <v>16</v>
      </c>
      <c r="E60" s="53"/>
      <c r="F60" s="54"/>
      <c r="G60" s="54"/>
      <c r="H60" s="75"/>
      <c r="I60" s="49" t="str">
        <f t="shared" si="7"/>
        <v/>
      </c>
      <c r="J60" s="65"/>
      <c r="K60" s="35">
        <v>0.05</v>
      </c>
      <c r="M60" s="37">
        <f t="shared" ref="M60:M74" si="32">(IF(F60&lt;&gt;"",1/3,0)+IF(G60&lt;&gt;"",2/3,0)+IF(H60&lt;&gt;"",1,0))*K60*20</f>
        <v>0</v>
      </c>
      <c r="N60" s="36">
        <f>IF(D60="",IF(E60&lt;&gt;"",1,0)+IF(F60&lt;&gt;"",1,0)+IF(G60&lt;&gt;"",1,0)+IF(H60&lt;&gt;"",1,0),0)</f>
        <v>0</v>
      </c>
      <c r="O60" s="38">
        <f t="shared" ref="O60:O74" si="33">IF(D60&lt;&gt;"",0,(IF(E60&lt;&gt;"",0.02,(M60/(K60*20)))))</f>
        <v>0</v>
      </c>
      <c r="P60" s="38">
        <f t="shared" ref="P60:P74" si="34">IF(D60&lt;&gt;"",0,K60)</f>
        <v>0</v>
      </c>
      <c r="Q60" s="39">
        <f>IF(I60&lt;&gt;"",1,0)</f>
        <v>0</v>
      </c>
      <c r="R60" s="39">
        <f>IF(D60="",OR(E60&lt;&gt;"",F60&lt;&gt;"",G60&lt;&gt;"",H60&lt;&gt;""),0)</f>
        <v>0</v>
      </c>
      <c r="S60" s="36">
        <f>IF(D60&lt;&gt;"",IF(E60&lt;&gt;"",1,0)+IF(F60&lt;&gt;"",1,0)+IF(G60&lt;&gt;"",1,0)+IF(H60&lt;&gt;"",1,0),0)</f>
        <v>0</v>
      </c>
    </row>
    <row r="61" spans="1:19" ht="13.7" customHeight="1" x14ac:dyDescent="0.2">
      <c r="A61" s="198"/>
      <c r="B61" s="199"/>
      <c r="C61" s="52" t="s">
        <v>187</v>
      </c>
      <c r="D61" s="53" t="s">
        <v>16</v>
      </c>
      <c r="E61" s="53"/>
      <c r="F61" s="54"/>
      <c r="G61" s="54"/>
      <c r="H61" s="75"/>
      <c r="I61" s="49" t="str">
        <f t="shared" si="7"/>
        <v/>
      </c>
      <c r="J61" s="65"/>
      <c r="K61" s="35">
        <v>0.05</v>
      </c>
      <c r="M61" s="37">
        <f t="shared" si="32"/>
        <v>0</v>
      </c>
      <c r="N61" s="36">
        <f t="shared" ref="N61:N71" si="35">IF(D61="",IF(E61&lt;&gt;"",1,0)+IF(F61&lt;&gt;"",1,0)+IF(G61&lt;&gt;"",1,0)+IF(H61&lt;&gt;"",1,0),0)</f>
        <v>0</v>
      </c>
      <c r="O61" s="38">
        <f t="shared" si="33"/>
        <v>0</v>
      </c>
      <c r="P61" s="38">
        <f t="shared" si="34"/>
        <v>0</v>
      </c>
      <c r="Q61" s="39">
        <f t="shared" ref="Q61:Q72" si="36">IF(I61&lt;&gt;"",1,0)</f>
        <v>0</v>
      </c>
      <c r="R61" s="39">
        <f t="shared" ref="R61:R71" si="37">IF(D61="",OR(E61&lt;&gt;"",F61&lt;&gt;"",G61&lt;&gt;"",H61&lt;&gt;""),0)</f>
        <v>0</v>
      </c>
      <c r="S61" s="36">
        <f t="shared" ref="S61:S71" si="38">IF(D61&lt;&gt;"",IF(E61&lt;&gt;"",1,0)+IF(F61&lt;&gt;"",1,0)+IF(G61&lt;&gt;"",1,0)+IF(H61&lt;&gt;"",1,0),0)</f>
        <v>0</v>
      </c>
    </row>
    <row r="62" spans="1:19" ht="13.7" customHeight="1" x14ac:dyDescent="0.2">
      <c r="A62" s="198"/>
      <c r="B62" s="199"/>
      <c r="C62" s="52" t="s">
        <v>188</v>
      </c>
      <c r="D62" s="53" t="s">
        <v>16</v>
      </c>
      <c r="E62" s="53"/>
      <c r="F62" s="54"/>
      <c r="G62" s="54"/>
      <c r="H62" s="75"/>
      <c r="I62" s="49" t="str">
        <f t="shared" si="7"/>
        <v/>
      </c>
      <c r="J62" s="65"/>
      <c r="K62" s="35">
        <v>0.05</v>
      </c>
      <c r="M62" s="37">
        <f t="shared" si="32"/>
        <v>0</v>
      </c>
      <c r="N62" s="36">
        <f t="shared" si="35"/>
        <v>0</v>
      </c>
      <c r="O62" s="38">
        <f t="shared" si="33"/>
        <v>0</v>
      </c>
      <c r="P62" s="38">
        <f t="shared" si="34"/>
        <v>0</v>
      </c>
      <c r="Q62" s="39">
        <f t="shared" si="36"/>
        <v>0</v>
      </c>
      <c r="R62" s="39">
        <f t="shared" si="37"/>
        <v>0</v>
      </c>
      <c r="S62" s="36">
        <f t="shared" si="38"/>
        <v>0</v>
      </c>
    </row>
    <row r="63" spans="1:19" ht="13.7" customHeight="1" x14ac:dyDescent="0.2">
      <c r="A63" s="198"/>
      <c r="B63" s="199"/>
      <c r="C63" s="52" t="s">
        <v>189</v>
      </c>
      <c r="D63" s="53" t="s">
        <v>16</v>
      </c>
      <c r="E63" s="53"/>
      <c r="F63" s="54"/>
      <c r="G63" s="54"/>
      <c r="H63" s="75"/>
      <c r="I63" s="49" t="str">
        <f t="shared" si="7"/>
        <v/>
      </c>
      <c r="J63" s="65"/>
      <c r="K63" s="35">
        <v>0.05</v>
      </c>
      <c r="M63" s="37">
        <f t="shared" si="32"/>
        <v>0</v>
      </c>
      <c r="N63" s="36">
        <f t="shared" si="35"/>
        <v>0</v>
      </c>
      <c r="O63" s="38">
        <f t="shared" si="33"/>
        <v>0</v>
      </c>
      <c r="P63" s="38">
        <f t="shared" si="34"/>
        <v>0</v>
      </c>
      <c r="Q63" s="39">
        <f t="shared" si="36"/>
        <v>0</v>
      </c>
      <c r="R63" s="39">
        <f t="shared" si="37"/>
        <v>0</v>
      </c>
      <c r="S63" s="36">
        <f t="shared" si="38"/>
        <v>0</v>
      </c>
    </row>
    <row r="64" spans="1:19" ht="13.7" customHeight="1" x14ac:dyDescent="0.2">
      <c r="A64" s="190"/>
      <c r="B64" s="192"/>
      <c r="C64" s="52" t="s">
        <v>190</v>
      </c>
      <c r="D64" s="53" t="s">
        <v>16</v>
      </c>
      <c r="E64" s="53"/>
      <c r="F64" s="54"/>
      <c r="G64" s="54"/>
      <c r="H64" s="75"/>
      <c r="I64" s="49" t="str">
        <f t="shared" si="7"/>
        <v/>
      </c>
      <c r="J64" s="65"/>
      <c r="K64" s="35">
        <v>0.05</v>
      </c>
      <c r="M64" s="37">
        <f t="shared" si="32"/>
        <v>0</v>
      </c>
      <c r="N64" s="36">
        <f t="shared" si="35"/>
        <v>0</v>
      </c>
      <c r="O64" s="38">
        <f t="shared" si="33"/>
        <v>0</v>
      </c>
      <c r="P64" s="38">
        <f t="shared" si="34"/>
        <v>0</v>
      </c>
      <c r="Q64" s="39">
        <f t="shared" si="36"/>
        <v>0</v>
      </c>
      <c r="R64" s="39">
        <f t="shared" si="37"/>
        <v>0</v>
      </c>
      <c r="S64" s="36">
        <f t="shared" si="38"/>
        <v>0</v>
      </c>
    </row>
    <row r="65" spans="1:19" ht="13.7" customHeight="1" x14ac:dyDescent="0.2">
      <c r="A65" s="189" t="s">
        <v>191</v>
      </c>
      <c r="B65" s="191" t="s">
        <v>192</v>
      </c>
      <c r="C65" s="52" t="s">
        <v>193</v>
      </c>
      <c r="D65" s="53"/>
      <c r="E65" s="53" t="s">
        <v>16</v>
      </c>
      <c r="F65" s="54"/>
      <c r="G65" s="54"/>
      <c r="H65" s="75"/>
      <c r="I65" s="49" t="str">
        <f t="shared" si="7"/>
        <v/>
      </c>
      <c r="J65" s="65"/>
      <c r="K65" s="35">
        <v>0.05</v>
      </c>
      <c r="M65" s="37">
        <f t="shared" si="32"/>
        <v>0</v>
      </c>
      <c r="N65" s="36">
        <f t="shared" si="35"/>
        <v>1</v>
      </c>
      <c r="O65" s="38">
        <f t="shared" si="33"/>
        <v>0.02</v>
      </c>
      <c r="P65" s="38">
        <f t="shared" si="34"/>
        <v>0.05</v>
      </c>
      <c r="Q65" s="39">
        <f t="shared" si="36"/>
        <v>0</v>
      </c>
      <c r="R65" s="39" t="b">
        <f t="shared" si="37"/>
        <v>1</v>
      </c>
      <c r="S65" s="36">
        <f t="shared" si="38"/>
        <v>0</v>
      </c>
    </row>
    <row r="66" spans="1:19" ht="13.7" customHeight="1" x14ac:dyDescent="0.2">
      <c r="A66" s="198"/>
      <c r="B66" s="199"/>
      <c r="C66" s="52" t="s">
        <v>194</v>
      </c>
      <c r="D66" s="53"/>
      <c r="E66" s="53" t="s">
        <v>16</v>
      </c>
      <c r="F66" s="54"/>
      <c r="G66" s="54"/>
      <c r="H66" s="75"/>
      <c r="I66" s="49" t="str">
        <f t="shared" si="7"/>
        <v/>
      </c>
      <c r="J66" s="65"/>
      <c r="K66" s="35">
        <v>0.05</v>
      </c>
      <c r="M66" s="37">
        <f t="shared" si="32"/>
        <v>0</v>
      </c>
      <c r="N66" s="36">
        <f t="shared" si="35"/>
        <v>1</v>
      </c>
      <c r="O66" s="38">
        <f t="shared" si="33"/>
        <v>0.02</v>
      </c>
      <c r="P66" s="38">
        <f t="shared" si="34"/>
        <v>0.05</v>
      </c>
      <c r="Q66" s="39">
        <f t="shared" si="36"/>
        <v>0</v>
      </c>
      <c r="R66" s="39" t="b">
        <f t="shared" si="37"/>
        <v>1</v>
      </c>
      <c r="S66" s="36">
        <f t="shared" si="38"/>
        <v>0</v>
      </c>
    </row>
    <row r="67" spans="1:19" ht="13.7" customHeight="1" x14ac:dyDescent="0.2">
      <c r="A67" s="190"/>
      <c r="B67" s="192"/>
      <c r="C67" s="52" t="s">
        <v>195</v>
      </c>
      <c r="D67" s="53" t="s">
        <v>16</v>
      </c>
      <c r="E67" s="53"/>
      <c r="F67" s="54"/>
      <c r="G67" s="54"/>
      <c r="H67" s="75"/>
      <c r="I67" s="49" t="str">
        <f t="shared" si="7"/>
        <v/>
      </c>
      <c r="J67" s="65"/>
      <c r="K67" s="35">
        <v>0.05</v>
      </c>
      <c r="M67" s="37">
        <f t="shared" si="32"/>
        <v>0</v>
      </c>
      <c r="N67" s="36">
        <f t="shared" si="35"/>
        <v>0</v>
      </c>
      <c r="O67" s="38">
        <f t="shared" si="33"/>
        <v>0</v>
      </c>
      <c r="P67" s="38">
        <f t="shared" si="34"/>
        <v>0</v>
      </c>
      <c r="Q67" s="39">
        <f t="shared" si="36"/>
        <v>0</v>
      </c>
      <c r="R67" s="39">
        <f t="shared" si="37"/>
        <v>0</v>
      </c>
      <c r="S67" s="36">
        <f t="shared" si="38"/>
        <v>0</v>
      </c>
    </row>
    <row r="68" spans="1:19" ht="24.75" customHeight="1" x14ac:dyDescent="0.2">
      <c r="A68" s="189" t="s">
        <v>196</v>
      </c>
      <c r="B68" s="191" t="s">
        <v>197</v>
      </c>
      <c r="C68" s="67" t="s">
        <v>198</v>
      </c>
      <c r="D68" s="53" t="s">
        <v>16</v>
      </c>
      <c r="E68" s="53"/>
      <c r="F68" s="54"/>
      <c r="G68" s="54"/>
      <c r="H68" s="75"/>
      <c r="I68" s="49" t="str">
        <f t="shared" si="7"/>
        <v/>
      </c>
      <c r="J68" s="65"/>
      <c r="K68" s="35">
        <v>0.05</v>
      </c>
      <c r="M68" s="37">
        <f t="shared" si="32"/>
        <v>0</v>
      </c>
      <c r="N68" s="36">
        <f t="shared" si="35"/>
        <v>0</v>
      </c>
      <c r="O68" s="38">
        <f t="shared" si="33"/>
        <v>0</v>
      </c>
      <c r="P68" s="38">
        <f t="shared" si="34"/>
        <v>0</v>
      </c>
      <c r="Q68" s="39">
        <f t="shared" si="36"/>
        <v>0</v>
      </c>
      <c r="R68" s="36">
        <f t="shared" si="37"/>
        <v>0</v>
      </c>
      <c r="S68" s="36">
        <f t="shared" si="38"/>
        <v>0</v>
      </c>
    </row>
    <row r="69" spans="1:19" ht="13.7" customHeight="1" x14ac:dyDescent="0.2">
      <c r="A69" s="190"/>
      <c r="B69" s="192"/>
      <c r="C69" s="52" t="s">
        <v>199</v>
      </c>
      <c r="D69" s="53" t="s">
        <v>16</v>
      </c>
      <c r="E69" s="53"/>
      <c r="F69" s="54"/>
      <c r="G69" s="54"/>
      <c r="H69" s="75"/>
      <c r="I69" s="49" t="str">
        <f t="shared" si="7"/>
        <v/>
      </c>
      <c r="J69" s="65"/>
      <c r="K69" s="35">
        <v>0.05</v>
      </c>
      <c r="M69" s="37">
        <f t="shared" si="32"/>
        <v>0</v>
      </c>
      <c r="N69" s="36">
        <f t="shared" si="35"/>
        <v>0</v>
      </c>
      <c r="O69" s="38">
        <f t="shared" si="33"/>
        <v>0</v>
      </c>
      <c r="P69" s="38">
        <f t="shared" si="34"/>
        <v>0</v>
      </c>
      <c r="Q69" s="39">
        <f t="shared" si="36"/>
        <v>0</v>
      </c>
      <c r="R69" s="39">
        <f t="shared" si="37"/>
        <v>0</v>
      </c>
      <c r="S69" s="36">
        <f t="shared" si="38"/>
        <v>0</v>
      </c>
    </row>
    <row r="70" spans="1:19" ht="24.75" customHeight="1" x14ac:dyDescent="0.2">
      <c r="A70" s="76" t="s">
        <v>200</v>
      </c>
      <c r="B70" s="77" t="s">
        <v>201</v>
      </c>
      <c r="C70" s="67" t="s">
        <v>202</v>
      </c>
      <c r="D70" s="53"/>
      <c r="E70" s="53" t="s">
        <v>16</v>
      </c>
      <c r="F70" s="54"/>
      <c r="G70" s="54"/>
      <c r="H70" s="75"/>
      <c r="I70" s="49" t="str">
        <f t="shared" ref="I70:I74" si="39">(IF(COUNTA(D70:H70)&gt;1,"◄",""))</f>
        <v/>
      </c>
      <c r="J70" s="65"/>
      <c r="K70" s="35">
        <v>0.1</v>
      </c>
      <c r="M70" s="37">
        <f t="shared" si="32"/>
        <v>0</v>
      </c>
      <c r="N70" s="36">
        <f t="shared" si="35"/>
        <v>1</v>
      </c>
      <c r="O70" s="38">
        <f t="shared" si="33"/>
        <v>0.02</v>
      </c>
      <c r="P70" s="38">
        <f t="shared" si="34"/>
        <v>0.1</v>
      </c>
      <c r="Q70" s="39">
        <f t="shared" si="36"/>
        <v>0</v>
      </c>
      <c r="R70" s="39" t="b">
        <f t="shared" si="37"/>
        <v>1</v>
      </c>
      <c r="S70" s="36">
        <f t="shared" si="38"/>
        <v>0</v>
      </c>
    </row>
    <row r="71" spans="1:19" ht="13.7" customHeight="1" x14ac:dyDescent="0.2">
      <c r="A71" s="189" t="s">
        <v>203</v>
      </c>
      <c r="B71" s="191" t="s">
        <v>204</v>
      </c>
      <c r="C71" s="52" t="s">
        <v>205</v>
      </c>
      <c r="D71" s="53" t="s">
        <v>16</v>
      </c>
      <c r="E71" s="53"/>
      <c r="F71" s="54"/>
      <c r="G71" s="54"/>
      <c r="H71" s="75"/>
      <c r="I71" s="49" t="str">
        <f t="shared" si="39"/>
        <v/>
      </c>
      <c r="J71" s="65"/>
      <c r="K71" s="35">
        <v>0.1</v>
      </c>
      <c r="M71" s="37">
        <f t="shared" si="32"/>
        <v>0</v>
      </c>
      <c r="N71" s="36">
        <f t="shared" si="35"/>
        <v>0</v>
      </c>
      <c r="O71" s="38">
        <f t="shared" si="33"/>
        <v>0</v>
      </c>
      <c r="P71" s="38">
        <f t="shared" si="34"/>
        <v>0</v>
      </c>
      <c r="Q71" s="39">
        <f t="shared" si="36"/>
        <v>0</v>
      </c>
      <c r="R71" s="39">
        <f t="shared" si="37"/>
        <v>0</v>
      </c>
      <c r="S71" s="36">
        <f t="shared" si="38"/>
        <v>0</v>
      </c>
    </row>
    <row r="72" spans="1:19" ht="13.7" customHeight="1" x14ac:dyDescent="0.2">
      <c r="A72" s="190"/>
      <c r="B72" s="192"/>
      <c r="C72" s="78" t="s">
        <v>206</v>
      </c>
      <c r="D72" s="53"/>
      <c r="E72" s="53"/>
      <c r="F72" s="54"/>
      <c r="G72" s="54"/>
      <c r="H72" s="70"/>
      <c r="I72" s="49" t="str">
        <f t="shared" si="39"/>
        <v/>
      </c>
      <c r="J72" s="65"/>
      <c r="K72" s="35">
        <v>0.1</v>
      </c>
      <c r="M72" s="37">
        <f t="shared" si="32"/>
        <v>0</v>
      </c>
      <c r="N72" s="36">
        <f>IF(D72="",IF(E72&lt;&gt;"",1,0)+IF(F72&lt;&gt;"",1,0)+IF(G72&lt;&gt;"",1,0)+IF(H72&lt;&gt;"",1,0),0)</f>
        <v>0</v>
      </c>
      <c r="O72" s="38">
        <f t="shared" si="33"/>
        <v>0</v>
      </c>
      <c r="P72" s="38">
        <f t="shared" si="34"/>
        <v>0.1</v>
      </c>
      <c r="Q72" s="39">
        <f t="shared" si="36"/>
        <v>0</v>
      </c>
      <c r="R72" s="39" t="b">
        <f>IF(D72="",OR(E72&lt;&gt;"",F72&lt;&gt;"",G72&lt;&gt;"",H72&lt;&gt;""),0)</f>
        <v>0</v>
      </c>
      <c r="S72" s="36">
        <f>IF(D72&lt;&gt;"",IF(E72&lt;&gt;"",1,0)+IF(F72&lt;&gt;"",1,0)+IF(G72&lt;&gt;"",1,0)+IF(H72&lt;&gt;"",1,0),0)</f>
        <v>0</v>
      </c>
    </row>
    <row r="73" spans="1:19" ht="13.7" customHeight="1" x14ac:dyDescent="0.2">
      <c r="A73" s="189" t="s">
        <v>207</v>
      </c>
      <c r="B73" s="194" t="s">
        <v>180</v>
      </c>
      <c r="C73" s="78" t="s">
        <v>181</v>
      </c>
      <c r="D73" s="53" t="s">
        <v>16</v>
      </c>
      <c r="E73" s="53"/>
      <c r="F73" s="54"/>
      <c r="G73" s="54"/>
      <c r="H73" s="70"/>
      <c r="I73" s="49" t="str">
        <f t="shared" si="39"/>
        <v/>
      </c>
      <c r="J73" s="65"/>
      <c r="K73" s="35">
        <v>0.1</v>
      </c>
      <c r="M73" s="37">
        <f t="shared" si="32"/>
        <v>0</v>
      </c>
      <c r="N73" s="36">
        <f>IF(D73="",IF(E73&lt;&gt;"",1,0)+IF(F73&lt;&gt;"",1,0)+IF(G73&lt;&gt;"",1,0)+IF(H73&lt;&gt;"",1,0),0)</f>
        <v>0</v>
      </c>
      <c r="O73" s="38">
        <f t="shared" si="33"/>
        <v>0</v>
      </c>
      <c r="P73" s="38">
        <f t="shared" si="34"/>
        <v>0</v>
      </c>
      <c r="Q73" s="39">
        <f>IF(I73&lt;&gt;"",1,0)</f>
        <v>0</v>
      </c>
      <c r="R73" s="39">
        <f>IF(D73="",OR(E73&lt;&gt;"",F73&lt;&gt;"",G73&lt;&gt;"",H73&lt;&gt;""),0)</f>
        <v>0</v>
      </c>
      <c r="S73" s="36">
        <f>IF(D73&lt;&gt;"",IF(E73&lt;&gt;"",1,0)+IF(F73&lt;&gt;"",1,0)+IF(G73&lt;&gt;"",1,0)+IF(H73&lt;&gt;"",1,0),0)</f>
        <v>0</v>
      </c>
    </row>
    <row r="74" spans="1:19" ht="13.7" customHeight="1" x14ac:dyDescent="0.2">
      <c r="A74" s="193"/>
      <c r="B74" s="195"/>
      <c r="C74" s="72" t="s">
        <v>208</v>
      </c>
      <c r="D74" s="53" t="s">
        <v>16</v>
      </c>
      <c r="E74" s="53"/>
      <c r="F74" s="64"/>
      <c r="G74" s="64"/>
      <c r="H74" s="29"/>
      <c r="I74" s="49" t="str">
        <f t="shared" si="39"/>
        <v/>
      </c>
      <c r="J74" s="65"/>
      <c r="K74" s="35">
        <v>0.1</v>
      </c>
      <c r="L74" s="66">
        <f>SUM(K60:K74)</f>
        <v>0.99999999999999989</v>
      </c>
      <c r="M74" s="37">
        <f t="shared" si="32"/>
        <v>0</v>
      </c>
      <c r="N74" s="36">
        <f>IF(D74="",IF(E74&lt;&gt;"",1,0)+IF(F74&lt;&gt;"",1,0)+IF(G74&lt;&gt;"",1,0)+IF(H74&lt;&gt;"",1,0),0)</f>
        <v>0</v>
      </c>
      <c r="O74" s="38">
        <f t="shared" si="33"/>
        <v>0</v>
      </c>
      <c r="P74" s="38">
        <f t="shared" si="34"/>
        <v>0</v>
      </c>
      <c r="Q74" s="39">
        <f>IF(I74&lt;&gt;"",1,0)</f>
        <v>0</v>
      </c>
      <c r="R74" s="39">
        <f>IF(D74="",OR(E74&lt;&gt;"",F74&lt;&gt;"",G74&lt;&gt;"",H74&lt;&gt;""),0)</f>
        <v>0</v>
      </c>
      <c r="S74" s="36">
        <f>IF(D74&lt;&gt;"",IF(E74&lt;&gt;"",1,0)+IF(F74&lt;&gt;"",1,0)+IF(G74&lt;&gt;"",1,0)+IF(H74&lt;&gt;"",1,0),0)</f>
        <v>0</v>
      </c>
    </row>
    <row r="75" spans="1:19" ht="18.75" customHeight="1" x14ac:dyDescent="0.2">
      <c r="A75" s="196"/>
      <c r="B75" s="197"/>
      <c r="C75" s="197"/>
      <c r="D75" s="197"/>
      <c r="E75" s="197"/>
      <c r="F75" s="197"/>
      <c r="G75" s="197"/>
      <c r="H75" s="197"/>
      <c r="I75" s="79" t="s">
        <v>209</v>
      </c>
      <c r="J75" s="65"/>
      <c r="L75" s="66"/>
      <c r="R75" s="39" t="b">
        <f>OR(R60=FALSE,R61=FALSE,R62=FALSE,R63=FALSE,R64=FALSE,R65=FALSE,R66=FALSE,R67=FALSE,R68=FALSE,R69=FALSE,R70=FALSE,R71=FALSE,R72=FALSE,R73=FALSE,R74=FALSE,)</f>
        <v>1</v>
      </c>
      <c r="S75" s="36">
        <f>IF(D75&lt;&gt;"",IF(E75&lt;&gt;"",1,0)+IF(F75&lt;&gt;"",1,0)+IF(G75&lt;&gt;"",1,0)+IF(H75&lt;&gt;"",1,0),0)</f>
        <v>0</v>
      </c>
    </row>
    <row r="76" spans="1:19" x14ac:dyDescent="0.2">
      <c r="C76" s="80" t="s">
        <v>210</v>
      </c>
      <c r="E76" s="173">
        <f>P4*K4+P35*K35+P43*K43+P59*K59+P15*K15+P24*K24</f>
        <v>0.33</v>
      </c>
      <c r="F76" s="174"/>
      <c r="G76" s="174"/>
      <c r="H76" s="174"/>
      <c r="I76" s="79"/>
      <c r="J76" s="177" t="str">
        <f>IF(R76=TRUE,"ATTENTION, au moins une ligne à évaluer n'est pas renseignée","")</f>
        <v>ATTENTION, au moins une ligne à évaluer n'est pas renseignée</v>
      </c>
      <c r="K76" s="35">
        <f>K59+K43+K35+K4+K15+K24</f>
        <v>1</v>
      </c>
      <c r="N76" s="36">
        <f>N4+N35+N43+N59+N24+N15</f>
        <v>5</v>
      </c>
      <c r="P76" s="81"/>
      <c r="Q76" s="39">
        <f>SUM(Q4:Q74)</f>
        <v>0</v>
      </c>
      <c r="R76" s="39" t="b">
        <f>OR(R15=TRUE,R24=TRUE,R35=TRUE,R43=TRUE,R59=TRUE,R75=TRUE)</f>
        <v>1</v>
      </c>
    </row>
    <row r="77" spans="1:19" ht="13.5" customHeight="1" x14ac:dyDescent="0.2">
      <c r="C77" s="82" t="s">
        <v>211</v>
      </c>
      <c r="E77" s="175">
        <f>IF(E76&lt;30%,"!",IF(Q76&lt;&gt;0,"",(IF(N76&lt;&gt;0,(M4*K4+M15*K15+M24*K24+M35*K35+M43*K43+M59*K59)/(K4*N4+K15*N15+K24*N24+K35*N35+K43*N43+K59*N59),0))))</f>
        <v>0</v>
      </c>
      <c r="F77" s="175"/>
      <c r="G77" s="176" t="s">
        <v>212</v>
      </c>
      <c r="H77" s="176"/>
      <c r="I77" s="79" t="s">
        <v>209</v>
      </c>
      <c r="J77" s="178"/>
    </row>
    <row r="78" spans="1:19" ht="23.25" customHeight="1" x14ac:dyDescent="0.2">
      <c r="C78" s="83" t="s">
        <v>213</v>
      </c>
      <c r="E78" s="180"/>
      <c r="F78" s="181"/>
      <c r="G78" s="182" t="s">
        <v>214</v>
      </c>
      <c r="H78" s="183"/>
      <c r="I78" s="79"/>
      <c r="J78" s="178"/>
    </row>
    <row r="79" spans="1:19" ht="21.75" customHeight="1" x14ac:dyDescent="0.2">
      <c r="C79" s="83" t="s">
        <v>215</v>
      </c>
      <c r="E79" s="184">
        <f>IF(Q76&lt;&gt;0,"",E78*3)</f>
        <v>0</v>
      </c>
      <c r="F79" s="185"/>
      <c r="G79" s="186" t="s">
        <v>216</v>
      </c>
      <c r="H79" s="187"/>
      <c r="I79" s="79" t="s">
        <v>209</v>
      </c>
      <c r="J79" s="178"/>
    </row>
    <row r="80" spans="1:19" ht="17.45" customHeight="1" x14ac:dyDescent="0.2">
      <c r="A80" s="188" t="s">
        <v>217</v>
      </c>
      <c r="B80" s="188"/>
      <c r="C80" s="188"/>
      <c r="D80" s="188"/>
      <c r="E80" s="188"/>
      <c r="F80" s="188"/>
      <c r="G80" s="188"/>
      <c r="H80" s="188"/>
      <c r="I80" s="79"/>
      <c r="J80" s="179"/>
    </row>
    <row r="81" spans="1:10" ht="13.5" customHeight="1" x14ac:dyDescent="0.2">
      <c r="A81" s="159" t="s">
        <v>218</v>
      </c>
      <c r="B81" s="160"/>
      <c r="C81" s="160"/>
      <c r="D81" s="160"/>
      <c r="E81" s="160"/>
      <c r="F81" s="160"/>
      <c r="G81" s="160"/>
      <c r="H81" s="160"/>
      <c r="I81" s="79" t="s">
        <v>209</v>
      </c>
      <c r="J81" s="84"/>
    </row>
    <row r="82" spans="1:10" ht="15" customHeight="1" x14ac:dyDescent="0.2">
      <c r="A82" s="161" t="s">
        <v>219</v>
      </c>
      <c r="B82" s="162"/>
      <c r="C82" s="163" t="str">
        <f>(IF(Q76&gt;0,"Attention erreur de saisie ! Voir ci-dessus",""))</f>
        <v/>
      </c>
      <c r="D82" s="163"/>
      <c r="E82" s="163"/>
      <c r="F82" s="163"/>
      <c r="G82" s="163"/>
      <c r="H82" s="164"/>
      <c r="I82" s="85"/>
      <c r="J82" s="65"/>
    </row>
    <row r="83" spans="1:10" ht="108" customHeight="1" x14ac:dyDescent="0.2">
      <c r="A83" s="165"/>
      <c r="B83" s="166"/>
      <c r="C83" s="166"/>
      <c r="D83" s="166"/>
      <c r="E83" s="166"/>
      <c r="F83" s="166"/>
      <c r="G83" s="166"/>
      <c r="H83" s="167"/>
      <c r="I83" s="86"/>
      <c r="J83" s="65"/>
    </row>
    <row r="84" spans="1:10" ht="7.5" customHeight="1" x14ac:dyDescent="0.2">
      <c r="A84" s="87"/>
      <c r="B84" s="87"/>
      <c r="C84" s="87"/>
      <c r="D84" s="88"/>
      <c r="E84" s="88"/>
      <c r="F84" s="88"/>
      <c r="G84" s="88"/>
      <c r="H84" s="88"/>
      <c r="I84" s="86"/>
      <c r="J84" s="65"/>
    </row>
    <row r="85" spans="1:10" ht="12.75" customHeight="1" x14ac:dyDescent="0.2">
      <c r="A85" s="168" t="s">
        <v>220</v>
      </c>
      <c r="B85" s="169"/>
      <c r="C85" s="89" t="s">
        <v>221</v>
      </c>
      <c r="D85" s="43"/>
      <c r="E85" s="170" t="s">
        <v>222</v>
      </c>
      <c r="F85" s="171"/>
      <c r="G85" s="171"/>
      <c r="H85" s="172"/>
      <c r="I85" s="20"/>
      <c r="J85" s="65"/>
    </row>
    <row r="86" spans="1:10" ht="39.75" customHeight="1" x14ac:dyDescent="0.2">
      <c r="A86" s="150" t="s">
        <v>223</v>
      </c>
      <c r="B86" s="151"/>
      <c r="C86" s="24"/>
      <c r="D86" s="90"/>
      <c r="E86" s="152">
        <f>Identification!B8</f>
        <v>0</v>
      </c>
      <c r="F86" s="153"/>
      <c r="G86" s="153"/>
      <c r="H86" s="154"/>
      <c r="J86" s="65"/>
    </row>
    <row r="87" spans="1:10" ht="39.75" customHeight="1" x14ac:dyDescent="0.2">
      <c r="A87" s="150"/>
      <c r="B87" s="151"/>
      <c r="C87" s="24"/>
      <c r="D87" s="90"/>
      <c r="J87" s="65"/>
    </row>
    <row r="88" spans="1:10" ht="39.75" customHeight="1" x14ac:dyDescent="0.2">
      <c r="A88" s="150"/>
      <c r="B88" s="151"/>
      <c r="C88" s="24"/>
      <c r="D88" s="90"/>
      <c r="J88" s="65"/>
    </row>
    <row r="89" spans="1:10" ht="39.75" customHeight="1" x14ac:dyDescent="0.2">
      <c r="A89" s="155"/>
      <c r="B89" s="156"/>
      <c r="C89" s="29"/>
      <c r="D89" s="90"/>
      <c r="E89" s="157"/>
      <c r="F89" s="158"/>
      <c r="G89" s="158"/>
      <c r="H89" s="158"/>
      <c r="J89" s="65"/>
    </row>
    <row r="90" spans="1:10" x14ac:dyDescent="0.2">
      <c r="J90" s="65"/>
    </row>
    <row r="91" spans="1:10" x14ac:dyDescent="0.2">
      <c r="J91" s="65"/>
    </row>
    <row r="92" spans="1:10" x14ac:dyDescent="0.2">
      <c r="J92" s="65"/>
    </row>
  </sheetData>
  <mergeCells count="85">
    <mergeCell ref="A1:B2"/>
    <mergeCell ref="D1:H1"/>
    <mergeCell ref="C1:C2"/>
    <mergeCell ref="D2:H2"/>
    <mergeCell ref="A3:B3"/>
    <mergeCell ref="A4:H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5:H15"/>
    <mergeCell ref="A16:A17"/>
    <mergeCell ref="B16:B17"/>
    <mergeCell ref="A18:A19"/>
    <mergeCell ref="B18:B19"/>
    <mergeCell ref="A20:A21"/>
    <mergeCell ref="B20:B21"/>
    <mergeCell ref="A22:A23"/>
    <mergeCell ref="B22:B23"/>
    <mergeCell ref="A24:H24"/>
    <mergeCell ref="A25:A26"/>
    <mergeCell ref="B25:B26"/>
    <mergeCell ref="A27:A28"/>
    <mergeCell ref="B27:B28"/>
    <mergeCell ref="A29:A32"/>
    <mergeCell ref="B29:B32"/>
    <mergeCell ref="A33:A34"/>
    <mergeCell ref="B33:B34"/>
    <mergeCell ref="A35:H35"/>
    <mergeCell ref="A36:A37"/>
    <mergeCell ref="B36:B37"/>
    <mergeCell ref="A38:A40"/>
    <mergeCell ref="B38:B40"/>
    <mergeCell ref="A41:A42"/>
    <mergeCell ref="B41:B42"/>
    <mergeCell ref="A43:H43"/>
    <mergeCell ref="A44:A45"/>
    <mergeCell ref="B44:B45"/>
    <mergeCell ref="A47:A48"/>
    <mergeCell ref="B47:B48"/>
    <mergeCell ref="A49:A53"/>
    <mergeCell ref="B49:B53"/>
    <mergeCell ref="A54:A56"/>
    <mergeCell ref="B54:B56"/>
    <mergeCell ref="A57:A58"/>
    <mergeCell ref="B57:B58"/>
    <mergeCell ref="A59:H59"/>
    <mergeCell ref="A60:A64"/>
    <mergeCell ref="B60:B64"/>
    <mergeCell ref="A65:A67"/>
    <mergeCell ref="B65:B67"/>
    <mergeCell ref="A68:A69"/>
    <mergeCell ref="B68:B69"/>
    <mergeCell ref="A71:A72"/>
    <mergeCell ref="B71:B72"/>
    <mergeCell ref="A73:A74"/>
    <mergeCell ref="B73:B74"/>
    <mergeCell ref="A75:H75"/>
    <mergeCell ref="E76:H76"/>
    <mergeCell ref="E77:F77"/>
    <mergeCell ref="G77:H77"/>
    <mergeCell ref="J76:J80"/>
    <mergeCell ref="E78:F78"/>
    <mergeCell ref="G78:H78"/>
    <mergeCell ref="E79:F79"/>
    <mergeCell ref="G79:H79"/>
    <mergeCell ref="A80:H80"/>
    <mergeCell ref="A81:H81"/>
    <mergeCell ref="A82:B82"/>
    <mergeCell ref="C82:H82"/>
    <mergeCell ref="A83:H83"/>
    <mergeCell ref="A85:B85"/>
    <mergeCell ref="E85:H85"/>
    <mergeCell ref="A86:B86"/>
    <mergeCell ref="E86:H86"/>
    <mergeCell ref="A87:B87"/>
    <mergeCell ref="A88:B88"/>
    <mergeCell ref="A89:B89"/>
    <mergeCell ref="E89:H89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51" orientation="portrait" useFirstPageNumber="1" horizontalDpi="4294967294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Identification</vt:lpstr>
      <vt:lpstr>Notation</vt:lpstr>
      <vt:lpstr>Identification!Zone_d_impression</vt:lpstr>
      <vt:lpstr>Notation!Zone_d_impression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2016-06-14T15:16:03Z</cp:lastPrinted>
  <dcterms:created xsi:type="dcterms:W3CDTF">2011-09-24T16:55:29Z</dcterms:created>
  <dcterms:modified xsi:type="dcterms:W3CDTF">2024-11-04T17:02:37Z</dcterms:modified>
</cp:coreProperties>
</file>