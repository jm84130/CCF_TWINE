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 activeTab="1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<sst xmlns="http://schemas.openxmlformats.org/spreadsheetml/2006/main" count="393" uniqueCount="228">
  <si>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</si>
  <si>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</si>
  <si>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</si>
  <si>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</si>
  <si>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</si>
  <si>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</si>
  <si>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</si>
  <si>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</si>
  <si>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</si>
  <si>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</si>
  <si>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chazel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</si>
  <si>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</si>
  <si>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jm</t>
  </si>
  <si>
    <t>Date de l'évaluation :</t>
  </si>
  <si>
    <t>2025-01-09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</si>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</sst>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40" sqref="E40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112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113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114</v>
      </c>
      <c r="B18" s="127" t="s">
        <v>115</v>
      </c>
      <c r="C18" s="89" t="s">
        <v>116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117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118</v>
      </c>
      <c r="B20" s="127" t="s">
        <v>119</v>
      </c>
      <c r="C20" s="133" t="s">
        <v>120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121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122</v>
      </c>
      <c r="B22" s="127" t="s">
        <v>123</v>
      </c>
      <c r="C22" s="133" t="s">
        <v>124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125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112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126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127</v>
      </c>
      <c r="B25" s="127" t="s">
        <v>128</v>
      </c>
      <c r="C25" s="128" t="s">
        <v>129</v>
      </c>
      <c r="D25" s="129" t="s">
        <v>19</v>
      </c>
      <c r="E25" s="129" t="s">
        <v>112</v>
      </c>
      <c r="F25" s="130" t="s">
        <v>112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130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112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131</v>
      </c>
      <c r="B27" s="127" t="s">
        <v>132</v>
      </c>
      <c r="C27" s="133" t="s">
        <v>133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134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135</v>
      </c>
      <c r="B29" s="127" t="s">
        <v>136</v>
      </c>
      <c r="C29" s="133" t="s">
        <v>137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138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139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140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141</v>
      </c>
      <c r="B33" s="150" t="s">
        <v>142</v>
      </c>
      <c r="C33" s="151" t="s">
        <v>143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144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145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146</v>
      </c>
      <c r="B36" s="127" t="s">
        <v>147</v>
      </c>
      <c r="C36" s="153" t="s">
        <v>148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149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150</v>
      </c>
      <c r="B38" s="127" t="s">
        <v>151</v>
      </c>
      <c r="C38" s="155" t="s">
        <v>152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153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154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>
        <f t="shared" si="7"/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155</v>
      </c>
      <c r="B41" s="127" t="s">
        <v>156</v>
      </c>
      <c r="C41" s="155" t="s">
        <v>157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158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159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160</v>
      </c>
      <c r="B44" s="127" t="s">
        <v>161</v>
      </c>
      <c r="C44" s="155" t="s">
        <v>162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112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163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112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164</v>
      </c>
      <c r="B46" s="159" t="s">
        <v>165</v>
      </c>
      <c r="C46" s="155" t="s">
        <v>166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167</v>
      </c>
      <c r="B47" s="127" t="s">
        <v>168</v>
      </c>
      <c r="C47" s="155" t="s">
        <v>169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170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171</v>
      </c>
      <c r="B49" s="127" t="s">
        <v>172</v>
      </c>
      <c r="C49" s="155" t="s">
        <v>173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174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175</v>
      </c>
      <c r="D51" s="129" t="s">
        <v>19</v>
      </c>
      <c r="E51" s="129" t="s">
        <v>112</v>
      </c>
      <c r="F51" s="130" t="s">
        <v>112</v>
      </c>
      <c r="G51" s="130" t="s">
        <v>112</v>
      </c>
      <c r="H51" s="70" t="s">
        <v>112</v>
      </c>
      <c r="I51" s="123">
        <f t="shared" si="7"/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176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177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178</v>
      </c>
      <c r="B54" s="127" t="s">
        <v>179</v>
      </c>
      <c r="C54" s="155" t="s">
        <v>180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181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182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183</v>
      </c>
      <c r="B57" s="127" t="s">
        <v>184</v>
      </c>
      <c r="C57" s="155" t="s">
        <v>185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186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187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188</v>
      </c>
      <c r="B60" s="127" t="s">
        <v>189</v>
      </c>
      <c r="C60" s="128" t="s">
        <v>190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191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192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193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194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195</v>
      </c>
      <c r="B65" s="127" t="s">
        <v>196</v>
      </c>
      <c r="C65" s="128" t="s">
        <v>197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198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199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200</v>
      </c>
      <c r="B68" s="127" t="s">
        <v>201</v>
      </c>
      <c r="C68" s="148" t="s">
        <v>202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203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204</v>
      </c>
      <c r="B70" s="165" t="s">
        <v>205</v>
      </c>
      <c r="C70" s="148" t="s">
        <v>206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207</v>
      </c>
      <c r="B71" s="127" t="s">
        <v>208</v>
      </c>
      <c r="C71" s="128" t="s">
        <v>209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210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211</v>
      </c>
      <c r="B73" s="167" t="s">
        <v>184</v>
      </c>
      <c r="C73" s="166" t="s">
        <v>185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212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213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214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215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216</v>
      </c>
      <c r="H77" s="179"/>
      <c r="I77" s="171" t="s">
        <v>213</v>
      </c>
      <c r="J77" s="180"/>
    </row>
    <row r="78" ht="23.25" customHeight="1" spans="3:10" x14ac:dyDescent="0.25">
      <c r="C78" s="181" t="s">
        <v>217</v>
      </c>
      <c r="E78" s="182"/>
      <c r="F78" s="183"/>
      <c r="G78" s="184" t="s">
        <v>218</v>
      </c>
      <c r="H78" s="185"/>
      <c r="I78" s="171"/>
      <c r="J78" s="180"/>
    </row>
    <row r="79" ht="21.75" customHeight="1" spans="3:10" x14ac:dyDescent="0.25">
      <c r="C79" s="181" t="s">
        <v>219</v>
      </c>
      <c r="E79" s="186">
        <f>IF(Q76&lt;&gt;0,"",E78*3)</f>
      </c>
      <c r="F79" s="187"/>
      <c r="G79" s="188" t="s">
        <v>220</v>
      </c>
      <c r="H79" s="189"/>
      <c r="I79" s="171" t="s">
        <v>213</v>
      </c>
      <c r="J79" s="180"/>
    </row>
    <row r="80" ht="17.45" customHeight="1" spans="1:10" x14ac:dyDescent="0.25">
      <c r="A80" s="190" t="s">
        <v>221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222</v>
      </c>
      <c r="B81" s="193"/>
      <c r="C81" s="193"/>
      <c r="D81" s="193"/>
      <c r="E81" s="193"/>
      <c r="F81" s="193"/>
      <c r="G81" s="193"/>
      <c r="H81" s="193"/>
      <c r="I81" s="171" t="s">
        <v>213</v>
      </c>
      <c r="J81" s="194"/>
    </row>
    <row r="82" ht="15" customHeight="1" spans="1:10" x14ac:dyDescent="0.25">
      <c r="A82" s="195" t="s">
        <v>223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224</v>
      </c>
      <c r="B85" s="207"/>
      <c r="C85" s="208" t="s">
        <v>225</v>
      </c>
      <c r="D85" s="114"/>
      <c r="E85" s="209" t="s">
        <v>226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227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2024-11-14T16:51:08Z</dcterms:modified>
</cp:coreProperties>
</file>